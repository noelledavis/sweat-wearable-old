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date1904="1" showInkAnnotation="0" autoCompressPictures="0"/>
  <bookViews>
    <workbookView xWindow="0" yWindow="0" windowWidth="25600" windowHeight="14200" tabRatio="500"/>
  </bookViews>
  <sheets>
    <sheet name="everything_board_partlist_bom.c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" i="1"/>
</calcChain>
</file>

<file path=xl/sharedStrings.xml><?xml version="1.0" encoding="utf-8"?>
<sst xmlns="http://schemas.openxmlformats.org/spreadsheetml/2006/main" count="301" uniqueCount="208">
  <si>
    <t>R7;R8;R38</t>
  </si>
  <si>
    <t>BATT_NEG;BATT_POS</t>
  </si>
  <si>
    <t>1M</t>
  </si>
  <si>
    <t>R0201</t>
  </si>
  <si>
    <t>R35;R36</t>
  </si>
  <si>
    <t>STAT2-GREEN</t>
  </si>
  <si>
    <t>CHIPLED_0805</t>
  </si>
  <si>
    <t>LED2</t>
  </si>
  <si>
    <t>Power-RED</t>
  </si>
  <si>
    <t>LED3</t>
  </si>
  <si>
    <t>STAT1-ORANGE</t>
  </si>
  <si>
    <t>LED1</t>
  </si>
  <si>
    <t>C0402</t>
  </si>
  <si>
    <t>C30;C34;C38;C58</t>
  </si>
  <si>
    <t>430p</t>
  </si>
  <si>
    <t>C55</t>
  </si>
  <si>
    <t>R0402</t>
  </si>
  <si>
    <t>RT2</t>
  </si>
  <si>
    <t>1K</t>
  </si>
  <si>
    <t>RT1</t>
  </si>
  <si>
    <t>U2;U3;U4</t>
  </si>
  <si>
    <t>0.01u</t>
  </si>
  <si>
    <t>C4;C8;C57</t>
  </si>
  <si>
    <t>J1</t>
  </si>
  <si>
    <t>U10</t>
  </si>
  <si>
    <t>AD8462</t>
  </si>
  <si>
    <t>MSOP08</t>
  </si>
  <si>
    <t>U$6</t>
  </si>
  <si>
    <t>MCP73833T-AMI/MF</t>
  </si>
  <si>
    <t>DFN10_3X3MM</t>
  </si>
  <si>
    <t>U5</t>
  </si>
  <si>
    <t>5-104074-1-CONNECTOR</t>
  </si>
  <si>
    <t>U$12</t>
  </si>
  <si>
    <t>C54</t>
  </si>
  <si>
    <t>MBR0520LT</t>
  </si>
  <si>
    <t>SOD123</t>
  </si>
  <si>
    <t>D1</t>
  </si>
  <si>
    <t>SOT95P280X145-5N</t>
  </si>
  <si>
    <t>U$5;U$7</t>
  </si>
  <si>
    <t>0.1p</t>
  </si>
  <si>
    <t>C0201</t>
  </si>
  <si>
    <t>C51;C52</t>
  </si>
  <si>
    <t>MINI-USB-10033526-N3212LF</t>
  </si>
  <si>
    <t>U$10</t>
  </si>
  <si>
    <t>R1;R2;R3;R4</t>
  </si>
  <si>
    <t>10uH</t>
  </si>
  <si>
    <t>L2</t>
  </si>
  <si>
    <t>46.4k</t>
  </si>
  <si>
    <t>R26</t>
  </si>
  <si>
    <t>13.3k</t>
  </si>
  <si>
    <t>R25</t>
  </si>
  <si>
    <t>100k</t>
  </si>
  <si>
    <t>R42</t>
  </si>
  <si>
    <t>2k</t>
  </si>
  <si>
    <t>R6;R39</t>
  </si>
  <si>
    <t>10K/THERM</t>
  </si>
  <si>
    <t>R40</t>
  </si>
  <si>
    <t>4.7u</t>
  </si>
  <si>
    <t>C32;C33;C56</t>
  </si>
  <si>
    <t>820k</t>
  </si>
  <si>
    <t>R9;R10;R11;R12;R13;R14;R15;R16;R17;R18;R19;R20;R21;R22;R23;R24;R27;R28;R29;R30;R31;R32;R33;R34</t>
  </si>
  <si>
    <t>JUMPER</t>
  </si>
  <si>
    <t>10k</t>
  </si>
  <si>
    <t>R5</t>
  </si>
  <si>
    <t>U1</t>
  </si>
  <si>
    <t>SPBT2632C2A</t>
  </si>
  <si>
    <t>U$8</t>
  </si>
  <si>
    <t>C61</t>
  </si>
  <si>
    <t>C1;C2;C3;C5;C6;C7;C9;C10;C11;C12;C13;C14;C15;C16;C17;C18;C19;C20;C21;C22;C23;C24;C25;C26;C27;C28;C31;C35;C37;C39;C40;C41;C42;C43;C44;C45;C46;C47;C48;C50;C60;C62;C63;C64;C68;C69</t>
  </si>
  <si>
    <t>U$1;U$2;U$3;U$4</t>
  </si>
  <si>
    <t>LM27313</t>
  </si>
  <si>
    <t>U$9</t>
  </si>
  <si>
    <t>Q1</t>
  </si>
  <si>
    <t>20pF</t>
  </si>
  <si>
    <t>C65;C66</t>
  </si>
  <si>
    <t>TLE2426IDR</t>
  </si>
  <si>
    <t>U15</t>
  </si>
  <si>
    <t>JS102011SAQN</t>
  </si>
  <si>
    <t>U$11</t>
  </si>
  <si>
    <t>Item #</t>
  </si>
  <si>
    <t>Quantity per board</t>
  </si>
  <si>
    <t>Manufacturer Part #</t>
  </si>
  <si>
    <t>Do Not Install</t>
  </si>
  <si>
    <t>Reference designators</t>
  </si>
  <si>
    <t>Vendor (optional)</t>
  </si>
  <si>
    <t>Vendor Part Number (optional)</t>
  </si>
  <si>
    <t>Value (optional)</t>
  </si>
  <si>
    <t>Size / Footprint  (optional)</t>
  </si>
  <si>
    <t>Part description/ specs (optional, but recommended)</t>
  </si>
  <si>
    <t>Manfacturer (optional)</t>
  </si>
  <si>
    <t>DNI</t>
  </si>
  <si>
    <t>Digikey</t>
  </si>
  <si>
    <t>10033526-N3212LF</t>
  </si>
  <si>
    <t>USB - mini B Receptacle Connector 5 Position Surface Mount, Right Angle, Horizontal</t>
  </si>
  <si>
    <t>609-4700-1-ND</t>
  </si>
  <si>
    <t>Amphenol FCI</t>
  </si>
  <si>
    <t>P820KABCT-ND</t>
  </si>
  <si>
    <t>Panasonic</t>
  </si>
  <si>
    <t>ERJ-1GEF8203C</t>
  </si>
  <si>
    <t>490-3167-1-ND</t>
  </si>
  <si>
    <t>0.1uF capacitor</t>
  </si>
  <si>
    <t>Murata</t>
  </si>
  <si>
    <t>GRM033R60J104KE19D</t>
  </si>
  <si>
    <t>490-1318-1-ND</t>
  </si>
  <si>
    <t>GRM155R61A104KA01D</t>
  </si>
  <si>
    <t>296-1345-1-ND</t>
  </si>
  <si>
    <t>8_SOIC</t>
  </si>
  <si>
    <t>Texas Instruments</t>
  </si>
  <si>
    <t>LT6005IGN#PBF-ND</t>
  </si>
  <si>
    <t>16-SSOP</t>
  </si>
  <si>
    <t>Linear Technologies</t>
  </si>
  <si>
    <t>LT6005IGN#PBF</t>
  </si>
  <si>
    <t>AD8642ARMZ-ND</t>
  </si>
  <si>
    <t>Analog Devices</t>
  </si>
  <si>
    <t>AD8642ARMZ</t>
  </si>
  <si>
    <t>445-17073-1-ND</t>
  </si>
  <si>
    <t>TDK</t>
  </si>
  <si>
    <t>MLZ2012M100WTD25</t>
  </si>
  <si>
    <t>1276-1451-1-ND</t>
  </si>
  <si>
    <t>10uF capacitor</t>
  </si>
  <si>
    <t>Samsung</t>
  </si>
  <si>
    <t>CL05A106MQ5NUNC</t>
  </si>
  <si>
    <t>490-1320-1-ND</t>
  </si>
  <si>
    <t>1uF</t>
  </si>
  <si>
    <t>GRM155R60J105KE19D</t>
  </si>
  <si>
    <t>490-3077-1-ND</t>
  </si>
  <si>
    <t>0.1pF capacitor</t>
  </si>
  <si>
    <t>GJM1555C1HR10BB01D</t>
  </si>
  <si>
    <t>C29;C36; C53;C49;C67</t>
  </si>
  <si>
    <t>644-1100-1-ND</t>
  </si>
  <si>
    <t>16 MHz oscillator</t>
  </si>
  <si>
    <t>NDK</t>
  </si>
  <si>
    <t>NX3225SA-16.000000MHZ-T1</t>
  </si>
  <si>
    <t>490-5930-1-ND</t>
  </si>
  <si>
    <t>20pF capacitor</t>
  </si>
  <si>
    <t>GRM1555C1H200JA01D</t>
  </si>
  <si>
    <t>1276-1469-1-ND</t>
  </si>
  <si>
    <t>2.2uF</t>
  </si>
  <si>
    <t>CL05A225MQ5NNNC</t>
  </si>
  <si>
    <t>ATMEGA328P-AURCT-ND</t>
  </si>
  <si>
    <t>32-TQFP</t>
  </si>
  <si>
    <t>Atmel</t>
  </si>
  <si>
    <t>ATMEGA328P-AUR</t>
  </si>
  <si>
    <t>RHM100KCBCT-ND</t>
  </si>
  <si>
    <t>Rohm Semiconductor</t>
  </si>
  <si>
    <t>MCR006YRTF1003</t>
  </si>
  <si>
    <t>P4.99KABCT-ND</t>
  </si>
  <si>
    <t>ERJ-1GEF4991C</t>
  </si>
  <si>
    <t>4.99k</t>
  </si>
  <si>
    <t>AD8422BRMZ-ND</t>
  </si>
  <si>
    <t>8-MSOP</t>
  </si>
  <si>
    <t>Instrumentation amplifier</t>
  </si>
  <si>
    <t>AD8422BRMZ</t>
  </si>
  <si>
    <t>P150LCT-ND</t>
  </si>
  <si>
    <t>ERJ-2RKF1500X</t>
  </si>
  <si>
    <t>R402</t>
  </si>
  <si>
    <t>541-1.00MABCT-ND</t>
  </si>
  <si>
    <t>Vishay-Dale</t>
  </si>
  <si>
    <t>CRCW02011M00FNED</t>
  </si>
  <si>
    <t>296-35164-1-ND</t>
  </si>
  <si>
    <t>LM27313XMFX/NOPB</t>
  </si>
  <si>
    <t>A31852-ND</t>
  </si>
  <si>
    <t>TE Connectivity</t>
  </si>
  <si>
    <t>5-104074-1</t>
  </si>
  <si>
    <t>401-1999-1-ND</t>
  </si>
  <si>
    <t>C&amp;K Components</t>
  </si>
  <si>
    <t>MBR0520LT1GOSTR-ND</t>
  </si>
  <si>
    <t>MBR0520LT1G</t>
  </si>
  <si>
    <t>ON Semiconductor</t>
  </si>
  <si>
    <t>LP3985IM5-5.0/NOPBCT-ND</t>
  </si>
  <si>
    <t>LP3985A-50</t>
  </si>
  <si>
    <t>LP3985IM5-5.0/NOPB</t>
  </si>
  <si>
    <t>LP3985IM5-3.3/NOPBCT-ND</t>
  </si>
  <si>
    <t>LP3985IM5-3.3/NOPB</t>
  </si>
  <si>
    <t>497-13189-ND</t>
  </si>
  <si>
    <t>STMicroelectronics</t>
  </si>
  <si>
    <t>SPBT2632C2A.AT2</t>
  </si>
  <si>
    <t>Mouser</t>
  </si>
  <si>
    <t>579-MCP73833T-AMI/MF</t>
  </si>
  <si>
    <t>Microchip</t>
  </si>
  <si>
    <t>490-5915-1-ND</t>
  </si>
  <si>
    <t>GRM155R60J475ME47D</t>
  </si>
  <si>
    <t>490-4516-1-ND</t>
  </si>
  <si>
    <t>GRM155R71H103KA88D</t>
  </si>
  <si>
    <t>490-6240-1-ND</t>
  </si>
  <si>
    <t>GRM1555C1H431GA01D</t>
  </si>
  <si>
    <t>311-150KJRTR-ND</t>
  </si>
  <si>
    <t>RC0402JR-07150KL</t>
  </si>
  <si>
    <t>150k</t>
  </si>
  <si>
    <t>Yageo</t>
  </si>
  <si>
    <t>311-1.0KJRCT-ND</t>
  </si>
  <si>
    <t>RC0402JR-071KL</t>
  </si>
  <si>
    <t>311-46.4KLRCT-ND</t>
  </si>
  <si>
    <t>RC0402FR-0746K4L</t>
  </si>
  <si>
    <t>YAG2974CT-ND</t>
  </si>
  <si>
    <t>RC0402FR-0713K3L</t>
  </si>
  <si>
    <t>311-10KJRCT-ND</t>
  </si>
  <si>
    <t>RC0402JR-0710KL</t>
  </si>
  <si>
    <t>P2.00KLCT-ND</t>
  </si>
  <si>
    <t>ERJ-2RKF2001X</t>
  </si>
  <si>
    <t>475-1410-1-ND</t>
  </si>
  <si>
    <t>LG R971-KN-1</t>
  </si>
  <si>
    <t>Osram-opto-semiconductors</t>
  </si>
  <si>
    <t>475-1415-1-ND</t>
  </si>
  <si>
    <t>LH R974-LP-1</t>
  </si>
  <si>
    <t>160-1413-1-ND</t>
  </si>
  <si>
    <t>LTST-C170KFKT</t>
  </si>
  <si>
    <t>Lite-on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</si>
</sst>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b/>
      <sz val="10"/>
      <color rgb="FF00B050"/>
      <name val="Calibri"/>
    </font>
    <font>
      <b/>
      <sz val="1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Arial"/>
    </font>
    <font>
      <sz val="12"/>
      <color theme="1"/>
      <name val="Calibri"/>
    </font>
    <font>
      <sz val="10"/>
      <color rgb="FF000000"/>
      <name val="Calibri (Body)"/>
    </font>
    <font>
      <sz val="12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tabSelected="1" workbookViewId="0">
      <pane ySplit="1" topLeftCell="A41" activePane="bottomLeft" state="frozen"/>
      <selection pane="bottomLeft" activeCell="K8" sqref="K8"/>
    </sheetView>
  </sheetViews>
  <sheetFormatPr baseColWidth="10" defaultRowHeight="15" x14ac:dyDescent="0"/>
  <cols>
    <col min="3" max="3" width="24.5" customWidth="1"/>
    <col min="5" max="5" width="31.5" customWidth="1"/>
    <col min="8" max="8" width="22.5" customWidth="1"/>
    <col min="9" max="9" width="28.1640625" customWidth="1"/>
    <col min="11" max="11" width="18.1640625" customWidth="1"/>
  </cols>
  <sheetData>
    <row r="1" spans="1:11" ht="84">
      <c r="A1" s="1" t="s">
        <v>79</v>
      </c>
      <c r="B1" s="2" t="s">
        <v>80</v>
      </c>
      <c r="C1" s="3" t="s">
        <v>81</v>
      </c>
      <c r="D1" s="4" t="s">
        <v>82</v>
      </c>
      <c r="E1" s="1" t="s">
        <v>83</v>
      </c>
      <c r="F1" s="5" t="s">
        <v>84</v>
      </c>
      <c r="G1" s="5" t="s">
        <v>85</v>
      </c>
      <c r="H1" s="6" t="s">
        <v>86</v>
      </c>
      <c r="I1" s="6" t="s">
        <v>87</v>
      </c>
      <c r="J1" s="5" t="s">
        <v>88</v>
      </c>
      <c r="K1" s="6" t="s">
        <v>89</v>
      </c>
    </row>
    <row r="2" spans="1:11">
      <c r="A2">
        <f>ROW()-1</f>
        <v>1</v>
      </c>
      <c r="B2">
        <f>1+LEN(E2)-LEN(SUBSTITUTE(E2,";",""))</f>
        <v>3</v>
      </c>
      <c r="C2" s="7" t="s">
        <v>154</v>
      </c>
      <c r="E2" t="s">
        <v>0</v>
      </c>
      <c r="F2" t="s">
        <v>91</v>
      </c>
      <c r="G2" s="7" t="s">
        <v>153</v>
      </c>
      <c r="H2">
        <v>150</v>
      </c>
      <c r="I2" t="s">
        <v>155</v>
      </c>
      <c r="K2" t="s">
        <v>97</v>
      </c>
    </row>
    <row r="3" spans="1:11">
      <c r="A3">
        <f t="shared" ref="A3:A45" si="0">ROW()-1</f>
        <v>2</v>
      </c>
      <c r="B3">
        <f t="shared" ref="B3:B45" si="1">1+LEN(E3)-LEN(SUBSTITUTE(E3,";",""))</f>
        <v>2</v>
      </c>
      <c r="D3" t="s">
        <v>90</v>
      </c>
      <c r="E3" t="s">
        <v>1</v>
      </c>
    </row>
    <row r="4" spans="1:11">
      <c r="A4">
        <f t="shared" si="0"/>
        <v>3</v>
      </c>
      <c r="B4">
        <f t="shared" si="1"/>
        <v>2</v>
      </c>
      <c r="C4" s="7" t="s">
        <v>158</v>
      </c>
      <c r="E4" t="s">
        <v>4</v>
      </c>
      <c r="F4" t="s">
        <v>91</v>
      </c>
      <c r="G4" s="7" t="s">
        <v>156</v>
      </c>
      <c r="H4" t="s">
        <v>2</v>
      </c>
      <c r="I4" t="s">
        <v>3</v>
      </c>
      <c r="K4" t="s">
        <v>157</v>
      </c>
    </row>
    <row r="5" spans="1:11">
      <c r="A5">
        <f t="shared" si="0"/>
        <v>4</v>
      </c>
      <c r="B5">
        <f t="shared" si="1"/>
        <v>1</v>
      </c>
      <c r="C5" s="7" t="s">
        <v>201</v>
      </c>
      <c r="E5" t="s">
        <v>7</v>
      </c>
      <c r="F5" t="s">
        <v>91</v>
      </c>
      <c r="G5" s="7" t="s">
        <v>200</v>
      </c>
      <c r="H5" t="s">
        <v>5</v>
      </c>
      <c r="I5" t="s">
        <v>6</v>
      </c>
      <c r="K5" t="s">
        <v>202</v>
      </c>
    </row>
    <row r="6" spans="1:11">
      <c r="A6">
        <f t="shared" si="0"/>
        <v>5</v>
      </c>
      <c r="B6">
        <f t="shared" si="1"/>
        <v>1</v>
      </c>
      <c r="C6" s="7" t="s">
        <v>204</v>
      </c>
      <c r="E6" t="s">
        <v>9</v>
      </c>
      <c r="F6" t="s">
        <v>91</v>
      </c>
      <c r="G6" s="7" t="s">
        <v>203</v>
      </c>
      <c r="H6" t="s">
        <v>8</v>
      </c>
      <c r="I6" t="s">
        <v>6</v>
      </c>
      <c r="K6" t="s">
        <v>202</v>
      </c>
    </row>
    <row r="7" spans="1:11">
      <c r="A7">
        <f t="shared" si="0"/>
        <v>6</v>
      </c>
      <c r="B7">
        <f t="shared" si="1"/>
        <v>1</v>
      </c>
      <c r="C7" s="7" t="s">
        <v>206</v>
      </c>
      <c r="E7" t="s">
        <v>11</v>
      </c>
      <c r="F7" t="s">
        <v>91</v>
      </c>
      <c r="G7" s="7" t="s">
        <v>205</v>
      </c>
      <c r="H7" t="s">
        <v>10</v>
      </c>
      <c r="I7" t="s">
        <v>6</v>
      </c>
      <c r="K7" t="s">
        <v>207</v>
      </c>
    </row>
    <row r="8" spans="1:11">
      <c r="A8">
        <f t="shared" si="0"/>
        <v>7</v>
      </c>
      <c r="B8">
        <f t="shared" si="1"/>
        <v>4</v>
      </c>
      <c r="C8" s="7" t="s">
        <v>124</v>
      </c>
      <c r="E8" t="s">
        <v>13</v>
      </c>
      <c r="F8" t="s">
        <v>91</v>
      </c>
      <c r="G8" s="7" t="s">
        <v>122</v>
      </c>
      <c r="H8" t="s">
        <v>123</v>
      </c>
      <c r="I8" t="s">
        <v>12</v>
      </c>
      <c r="K8" t="s">
        <v>101</v>
      </c>
    </row>
    <row r="9" spans="1:11">
      <c r="A9">
        <f t="shared" si="0"/>
        <v>8</v>
      </c>
      <c r="B9">
        <f t="shared" si="1"/>
        <v>1</v>
      </c>
      <c r="C9" s="7" t="s">
        <v>185</v>
      </c>
      <c r="E9" t="s">
        <v>15</v>
      </c>
      <c r="F9" t="s">
        <v>91</v>
      </c>
      <c r="G9" s="7" t="s">
        <v>184</v>
      </c>
      <c r="H9" t="s">
        <v>14</v>
      </c>
      <c r="I9" t="s">
        <v>12</v>
      </c>
      <c r="K9" t="s">
        <v>101</v>
      </c>
    </row>
    <row r="10" spans="1:11">
      <c r="A10">
        <f t="shared" si="0"/>
        <v>9</v>
      </c>
      <c r="B10">
        <f t="shared" si="1"/>
        <v>1</v>
      </c>
      <c r="C10" s="7" t="s">
        <v>187</v>
      </c>
      <c r="E10" t="s">
        <v>17</v>
      </c>
      <c r="F10" t="s">
        <v>91</v>
      </c>
      <c r="G10" s="7" t="s">
        <v>186</v>
      </c>
      <c r="H10" s="7" t="s">
        <v>188</v>
      </c>
      <c r="I10" t="s">
        <v>16</v>
      </c>
      <c r="K10" t="s">
        <v>189</v>
      </c>
    </row>
    <row r="11" spans="1:11">
      <c r="A11">
        <f t="shared" si="0"/>
        <v>10</v>
      </c>
      <c r="B11">
        <f t="shared" si="1"/>
        <v>1</v>
      </c>
      <c r="C11" s="7" t="s">
        <v>191</v>
      </c>
      <c r="E11" t="s">
        <v>19</v>
      </c>
      <c r="F11" t="s">
        <v>91</v>
      </c>
      <c r="G11" s="7" t="s">
        <v>190</v>
      </c>
      <c r="H11" t="s">
        <v>18</v>
      </c>
      <c r="I11" t="s">
        <v>16</v>
      </c>
      <c r="K11" t="s">
        <v>189</v>
      </c>
    </row>
    <row r="12" spans="1:11">
      <c r="A12">
        <f t="shared" si="0"/>
        <v>11</v>
      </c>
      <c r="B12">
        <f t="shared" si="1"/>
        <v>3</v>
      </c>
      <c r="C12" s="7" t="s">
        <v>111</v>
      </c>
      <c r="E12" t="s">
        <v>20</v>
      </c>
      <c r="F12" t="s">
        <v>91</v>
      </c>
      <c r="G12" s="7" t="s">
        <v>108</v>
      </c>
      <c r="I12" t="s">
        <v>109</v>
      </c>
      <c r="K12" t="s">
        <v>110</v>
      </c>
    </row>
    <row r="13" spans="1:11">
      <c r="A13">
        <f t="shared" si="0"/>
        <v>12</v>
      </c>
      <c r="B13">
        <f t="shared" si="1"/>
        <v>3</v>
      </c>
      <c r="C13" s="7" t="s">
        <v>183</v>
      </c>
      <c r="E13" t="s">
        <v>22</v>
      </c>
      <c r="F13" t="s">
        <v>91</v>
      </c>
      <c r="G13" s="7" t="s">
        <v>182</v>
      </c>
      <c r="H13" t="s">
        <v>21</v>
      </c>
      <c r="I13" t="s">
        <v>12</v>
      </c>
      <c r="K13" t="s">
        <v>101</v>
      </c>
    </row>
    <row r="14" spans="1:11">
      <c r="A14">
        <f t="shared" si="0"/>
        <v>13</v>
      </c>
      <c r="D14" t="s">
        <v>90</v>
      </c>
      <c r="E14" t="s">
        <v>23</v>
      </c>
    </row>
    <row r="15" spans="1:11">
      <c r="A15">
        <f t="shared" si="0"/>
        <v>14</v>
      </c>
      <c r="B15">
        <f t="shared" si="1"/>
        <v>1</v>
      </c>
      <c r="C15" s="7" t="s">
        <v>142</v>
      </c>
      <c r="E15" t="s">
        <v>24</v>
      </c>
      <c r="F15" t="s">
        <v>91</v>
      </c>
      <c r="G15" s="7" t="s">
        <v>139</v>
      </c>
      <c r="I15" s="7" t="s">
        <v>140</v>
      </c>
      <c r="K15" s="7" t="s">
        <v>141</v>
      </c>
    </row>
    <row r="16" spans="1:11">
      <c r="A16">
        <f t="shared" si="0"/>
        <v>15</v>
      </c>
      <c r="B16">
        <f t="shared" si="1"/>
        <v>1</v>
      </c>
      <c r="C16" s="7" t="s">
        <v>114</v>
      </c>
      <c r="E16" t="s">
        <v>27</v>
      </c>
      <c r="F16" s="8" t="s">
        <v>91</v>
      </c>
      <c r="G16" s="7" t="s">
        <v>112</v>
      </c>
      <c r="H16" s="8" t="s">
        <v>25</v>
      </c>
      <c r="I16" s="8" t="s">
        <v>26</v>
      </c>
      <c r="J16" s="8"/>
      <c r="K16" s="8" t="s">
        <v>113</v>
      </c>
    </row>
    <row r="17" spans="1:11">
      <c r="A17">
        <f t="shared" si="0"/>
        <v>16</v>
      </c>
      <c r="B17">
        <f t="shared" si="1"/>
        <v>1</v>
      </c>
      <c r="C17" s="7" t="s">
        <v>28</v>
      </c>
      <c r="E17" t="s">
        <v>30</v>
      </c>
      <c r="F17" s="8" t="s">
        <v>177</v>
      </c>
      <c r="G17" s="10" t="s">
        <v>178</v>
      </c>
      <c r="H17" t="s">
        <v>28</v>
      </c>
      <c r="I17" t="s">
        <v>29</v>
      </c>
      <c r="K17" s="8" t="s">
        <v>179</v>
      </c>
    </row>
    <row r="18" spans="1:11">
      <c r="A18">
        <f t="shared" si="0"/>
        <v>17</v>
      </c>
      <c r="B18">
        <f t="shared" si="1"/>
        <v>1</v>
      </c>
      <c r="C18" s="7" t="s">
        <v>163</v>
      </c>
      <c r="E18" t="s">
        <v>32</v>
      </c>
      <c r="F18" t="s">
        <v>91</v>
      </c>
      <c r="G18" s="7" t="s">
        <v>161</v>
      </c>
      <c r="H18" t="s">
        <v>31</v>
      </c>
      <c r="I18" t="s">
        <v>31</v>
      </c>
      <c r="K18" t="s">
        <v>162</v>
      </c>
    </row>
    <row r="19" spans="1:11">
      <c r="A19">
        <f t="shared" si="0"/>
        <v>18</v>
      </c>
      <c r="B19">
        <f t="shared" si="1"/>
        <v>1</v>
      </c>
      <c r="C19" s="7" t="s">
        <v>138</v>
      </c>
      <c r="E19" t="s">
        <v>33</v>
      </c>
      <c r="F19" t="s">
        <v>91</v>
      </c>
      <c r="G19" s="7" t="s">
        <v>136</v>
      </c>
      <c r="H19" t="s">
        <v>137</v>
      </c>
      <c r="I19" t="s">
        <v>12</v>
      </c>
      <c r="K19" t="s">
        <v>120</v>
      </c>
    </row>
    <row r="20" spans="1:11">
      <c r="A20">
        <f t="shared" si="0"/>
        <v>19</v>
      </c>
      <c r="B20">
        <f t="shared" si="1"/>
        <v>1</v>
      </c>
      <c r="C20" s="7" t="s">
        <v>167</v>
      </c>
      <c r="E20" t="s">
        <v>36</v>
      </c>
      <c r="F20" t="s">
        <v>91</v>
      </c>
      <c r="G20" s="7" t="s">
        <v>166</v>
      </c>
      <c r="H20" t="s">
        <v>34</v>
      </c>
      <c r="I20" t="s">
        <v>35</v>
      </c>
      <c r="K20" t="s">
        <v>168</v>
      </c>
    </row>
    <row r="21" spans="1:11">
      <c r="A21">
        <f t="shared" si="0"/>
        <v>20</v>
      </c>
      <c r="B21">
        <f t="shared" si="1"/>
        <v>2</v>
      </c>
      <c r="C21" s="7" t="s">
        <v>171</v>
      </c>
      <c r="E21" t="s">
        <v>38</v>
      </c>
      <c r="F21" t="s">
        <v>91</v>
      </c>
      <c r="G21" s="7" t="s">
        <v>169</v>
      </c>
      <c r="H21" t="s">
        <v>170</v>
      </c>
      <c r="I21" t="s">
        <v>37</v>
      </c>
      <c r="K21" t="s">
        <v>107</v>
      </c>
    </row>
    <row r="22" spans="1:11">
      <c r="A22">
        <f t="shared" si="0"/>
        <v>21</v>
      </c>
      <c r="B22">
        <f t="shared" si="1"/>
        <v>2</v>
      </c>
      <c r="C22" s="7" t="s">
        <v>127</v>
      </c>
      <c r="E22" t="s">
        <v>41</v>
      </c>
      <c r="F22" s="8" t="s">
        <v>91</v>
      </c>
      <c r="G22" s="7" t="s">
        <v>125</v>
      </c>
      <c r="H22" s="8" t="s">
        <v>39</v>
      </c>
      <c r="I22" s="8" t="s">
        <v>12</v>
      </c>
      <c r="J22" s="8" t="s">
        <v>126</v>
      </c>
      <c r="K22" s="8" t="s">
        <v>101</v>
      </c>
    </row>
    <row r="23" spans="1:11">
      <c r="A23">
        <f t="shared" si="0"/>
        <v>22</v>
      </c>
      <c r="B23">
        <f t="shared" si="1"/>
        <v>1</v>
      </c>
      <c r="C23" s="7" t="s">
        <v>92</v>
      </c>
      <c r="E23" t="s">
        <v>43</v>
      </c>
      <c r="F23" s="9" t="s">
        <v>91</v>
      </c>
      <c r="G23" s="7" t="s">
        <v>94</v>
      </c>
      <c r="H23" t="s">
        <v>42</v>
      </c>
      <c r="I23" t="s">
        <v>42</v>
      </c>
      <c r="J23" s="7" t="s">
        <v>93</v>
      </c>
      <c r="K23" t="s">
        <v>95</v>
      </c>
    </row>
    <row r="24" spans="1:11">
      <c r="A24">
        <f t="shared" si="0"/>
        <v>23</v>
      </c>
      <c r="B24">
        <f t="shared" si="1"/>
        <v>4</v>
      </c>
      <c r="C24" s="7" t="s">
        <v>147</v>
      </c>
      <c r="E24" t="s">
        <v>44</v>
      </c>
      <c r="F24" s="8" t="s">
        <v>91</v>
      </c>
      <c r="G24" s="7" t="s">
        <v>146</v>
      </c>
      <c r="H24" t="s">
        <v>148</v>
      </c>
      <c r="I24" t="s">
        <v>3</v>
      </c>
      <c r="K24" t="s">
        <v>97</v>
      </c>
    </row>
    <row r="25" spans="1:11">
      <c r="A25">
        <f t="shared" si="0"/>
        <v>24</v>
      </c>
      <c r="B25">
        <f t="shared" si="1"/>
        <v>1</v>
      </c>
      <c r="C25" s="7" t="s">
        <v>117</v>
      </c>
      <c r="E25" t="s">
        <v>46</v>
      </c>
      <c r="F25" t="s">
        <v>91</v>
      </c>
      <c r="G25" s="7" t="s">
        <v>115</v>
      </c>
      <c r="H25" t="s">
        <v>45</v>
      </c>
      <c r="I25">
        <v>805</v>
      </c>
      <c r="K25" t="s">
        <v>116</v>
      </c>
    </row>
    <row r="26" spans="1:11">
      <c r="A26">
        <f t="shared" si="0"/>
        <v>25</v>
      </c>
      <c r="B26">
        <f t="shared" si="1"/>
        <v>1</v>
      </c>
      <c r="C26" s="7" t="s">
        <v>193</v>
      </c>
      <c r="E26" t="s">
        <v>48</v>
      </c>
      <c r="F26" t="s">
        <v>91</v>
      </c>
      <c r="G26" s="7" t="s">
        <v>192</v>
      </c>
      <c r="H26" t="s">
        <v>47</v>
      </c>
      <c r="I26" t="s">
        <v>16</v>
      </c>
      <c r="K26" t="s">
        <v>189</v>
      </c>
    </row>
    <row r="27" spans="1:11">
      <c r="A27">
        <f t="shared" si="0"/>
        <v>26</v>
      </c>
      <c r="B27">
        <f t="shared" si="1"/>
        <v>1</v>
      </c>
      <c r="C27" s="7" t="s">
        <v>195</v>
      </c>
      <c r="E27" t="s">
        <v>50</v>
      </c>
      <c r="F27" t="s">
        <v>91</v>
      </c>
      <c r="G27" s="7" t="s">
        <v>194</v>
      </c>
      <c r="H27" t="s">
        <v>49</v>
      </c>
      <c r="I27" t="s">
        <v>16</v>
      </c>
      <c r="K27" t="s">
        <v>189</v>
      </c>
    </row>
    <row r="28" spans="1:11">
      <c r="A28">
        <f t="shared" si="0"/>
        <v>27</v>
      </c>
      <c r="B28">
        <f t="shared" si="1"/>
        <v>1</v>
      </c>
      <c r="C28" s="7" t="s">
        <v>145</v>
      </c>
      <c r="E28" t="s">
        <v>52</v>
      </c>
      <c r="F28" t="s">
        <v>91</v>
      </c>
      <c r="G28" s="7" t="s">
        <v>143</v>
      </c>
      <c r="H28" t="s">
        <v>51</v>
      </c>
      <c r="I28" t="s">
        <v>3</v>
      </c>
      <c r="K28" t="s">
        <v>144</v>
      </c>
    </row>
    <row r="29" spans="1:11">
      <c r="A29">
        <f t="shared" si="0"/>
        <v>28</v>
      </c>
      <c r="B29">
        <f t="shared" si="1"/>
        <v>5</v>
      </c>
      <c r="C29" s="7" t="s">
        <v>121</v>
      </c>
      <c r="E29" t="s">
        <v>128</v>
      </c>
      <c r="F29" t="s">
        <v>91</v>
      </c>
      <c r="G29" s="7" t="s">
        <v>118</v>
      </c>
      <c r="H29" t="s">
        <v>119</v>
      </c>
      <c r="I29" t="s">
        <v>12</v>
      </c>
      <c r="K29" t="s">
        <v>120</v>
      </c>
    </row>
    <row r="30" spans="1:11">
      <c r="A30">
        <f t="shared" si="0"/>
        <v>29</v>
      </c>
      <c r="B30">
        <f t="shared" si="1"/>
        <v>2</v>
      </c>
      <c r="C30" s="7" t="s">
        <v>199</v>
      </c>
      <c r="E30" t="s">
        <v>54</v>
      </c>
      <c r="F30" t="s">
        <v>91</v>
      </c>
      <c r="G30" s="7" t="s">
        <v>198</v>
      </c>
      <c r="H30" t="s">
        <v>53</v>
      </c>
      <c r="I30" t="s">
        <v>16</v>
      </c>
      <c r="K30" t="s">
        <v>97</v>
      </c>
    </row>
    <row r="31" spans="1:11">
      <c r="A31">
        <f t="shared" si="0"/>
        <v>30</v>
      </c>
      <c r="B31">
        <f t="shared" si="1"/>
        <v>1</v>
      </c>
      <c r="C31" s="7" t="s">
        <v>197</v>
      </c>
      <c r="E31" t="s">
        <v>56</v>
      </c>
      <c r="F31" t="s">
        <v>91</v>
      </c>
      <c r="G31" s="7" t="s">
        <v>196</v>
      </c>
      <c r="H31" t="s">
        <v>55</v>
      </c>
      <c r="I31" t="s">
        <v>16</v>
      </c>
      <c r="K31" t="s">
        <v>189</v>
      </c>
    </row>
    <row r="32" spans="1:11">
      <c r="A32">
        <f t="shared" si="0"/>
        <v>31</v>
      </c>
      <c r="B32">
        <f t="shared" si="1"/>
        <v>3</v>
      </c>
      <c r="C32" s="7" t="s">
        <v>181</v>
      </c>
      <c r="E32" t="s">
        <v>58</v>
      </c>
      <c r="F32" t="s">
        <v>91</v>
      </c>
      <c r="G32" s="7" t="s">
        <v>180</v>
      </c>
      <c r="H32" t="s">
        <v>57</v>
      </c>
      <c r="I32" t="s">
        <v>12</v>
      </c>
      <c r="K32" t="s">
        <v>101</v>
      </c>
    </row>
    <row r="33" spans="1:11">
      <c r="A33">
        <f t="shared" si="0"/>
        <v>32</v>
      </c>
      <c r="B33">
        <f t="shared" si="1"/>
        <v>24</v>
      </c>
      <c r="C33" s="7" t="s">
        <v>98</v>
      </c>
      <c r="E33" t="s">
        <v>60</v>
      </c>
      <c r="F33" t="s">
        <v>91</v>
      </c>
      <c r="G33" s="7" t="s">
        <v>96</v>
      </c>
      <c r="H33" t="s">
        <v>59</v>
      </c>
      <c r="I33" t="s">
        <v>3</v>
      </c>
      <c r="K33" t="s">
        <v>97</v>
      </c>
    </row>
    <row r="34" spans="1:11">
      <c r="A34">
        <f t="shared" si="0"/>
        <v>33</v>
      </c>
      <c r="B34">
        <f t="shared" si="1"/>
        <v>1</v>
      </c>
      <c r="D34" t="s">
        <v>90</v>
      </c>
      <c r="E34" t="s">
        <v>61</v>
      </c>
    </row>
    <row r="35" spans="1:11">
      <c r="A35">
        <f t="shared" si="0"/>
        <v>34</v>
      </c>
      <c r="B35">
        <f t="shared" si="1"/>
        <v>1</v>
      </c>
      <c r="C35" s="7" t="s">
        <v>197</v>
      </c>
      <c r="E35" t="s">
        <v>63</v>
      </c>
      <c r="F35" t="s">
        <v>91</v>
      </c>
      <c r="G35" s="7" t="s">
        <v>196</v>
      </c>
      <c r="H35" t="s">
        <v>62</v>
      </c>
      <c r="I35" t="s">
        <v>16</v>
      </c>
      <c r="K35" t="s">
        <v>189</v>
      </c>
    </row>
    <row r="36" spans="1:11">
      <c r="A36">
        <f t="shared" si="0"/>
        <v>35</v>
      </c>
      <c r="B36">
        <f t="shared" si="1"/>
        <v>1</v>
      </c>
      <c r="C36" s="7" t="s">
        <v>173</v>
      </c>
      <c r="E36" t="s">
        <v>64</v>
      </c>
      <c r="F36" t="s">
        <v>91</v>
      </c>
      <c r="G36" s="7" t="s">
        <v>172</v>
      </c>
      <c r="H36" s="7" t="s">
        <v>173</v>
      </c>
      <c r="I36" t="s">
        <v>37</v>
      </c>
      <c r="K36" t="s">
        <v>107</v>
      </c>
    </row>
    <row r="37" spans="1:11">
      <c r="A37">
        <f t="shared" si="0"/>
        <v>36</v>
      </c>
      <c r="B37">
        <f t="shared" si="1"/>
        <v>1</v>
      </c>
      <c r="C37" s="7" t="s">
        <v>176</v>
      </c>
      <c r="E37" t="s">
        <v>66</v>
      </c>
      <c r="F37" t="s">
        <v>91</v>
      </c>
      <c r="G37" s="7" t="s">
        <v>174</v>
      </c>
      <c r="H37" t="s">
        <v>65</v>
      </c>
      <c r="I37" t="s">
        <v>65</v>
      </c>
      <c r="K37" t="s">
        <v>175</v>
      </c>
    </row>
    <row r="38" spans="1:11">
      <c r="A38">
        <f t="shared" si="0"/>
        <v>37</v>
      </c>
      <c r="B38">
        <f t="shared" si="1"/>
        <v>1</v>
      </c>
      <c r="C38" s="7" t="s">
        <v>104</v>
      </c>
      <c r="E38" t="s">
        <v>67</v>
      </c>
      <c r="F38" t="s">
        <v>91</v>
      </c>
      <c r="G38" s="7" t="s">
        <v>103</v>
      </c>
      <c r="H38" t="s">
        <v>100</v>
      </c>
      <c r="I38" t="s">
        <v>12</v>
      </c>
      <c r="K38" t="s">
        <v>101</v>
      </c>
    </row>
    <row r="39" spans="1:11">
      <c r="A39">
        <f t="shared" si="0"/>
        <v>38</v>
      </c>
      <c r="B39">
        <f t="shared" si="1"/>
        <v>46</v>
      </c>
      <c r="C39" s="7" t="s">
        <v>102</v>
      </c>
      <c r="E39" t="s">
        <v>68</v>
      </c>
      <c r="F39" t="s">
        <v>91</v>
      </c>
      <c r="G39" s="7" t="s">
        <v>99</v>
      </c>
      <c r="H39" t="s">
        <v>100</v>
      </c>
      <c r="I39" t="s">
        <v>40</v>
      </c>
      <c r="K39" t="s">
        <v>101</v>
      </c>
    </row>
    <row r="40" spans="1:11">
      <c r="A40">
        <f t="shared" si="0"/>
        <v>39</v>
      </c>
      <c r="B40">
        <f t="shared" si="1"/>
        <v>4</v>
      </c>
      <c r="C40" s="7" t="s">
        <v>152</v>
      </c>
      <c r="E40" t="s">
        <v>69</v>
      </c>
      <c r="F40" t="s">
        <v>91</v>
      </c>
      <c r="G40" s="7" t="s">
        <v>149</v>
      </c>
      <c r="I40" t="s">
        <v>150</v>
      </c>
      <c r="J40" t="s">
        <v>151</v>
      </c>
      <c r="K40" t="s">
        <v>113</v>
      </c>
    </row>
    <row r="41" spans="1:11">
      <c r="A41">
        <f t="shared" si="0"/>
        <v>40</v>
      </c>
      <c r="B41">
        <f t="shared" si="1"/>
        <v>1</v>
      </c>
      <c r="C41" s="7" t="s">
        <v>160</v>
      </c>
      <c r="E41" t="s">
        <v>71</v>
      </c>
      <c r="F41" t="s">
        <v>91</v>
      </c>
      <c r="G41" s="7" t="s">
        <v>159</v>
      </c>
      <c r="H41" t="s">
        <v>70</v>
      </c>
      <c r="I41" t="s">
        <v>37</v>
      </c>
      <c r="K41" t="s">
        <v>107</v>
      </c>
    </row>
    <row r="42" spans="1:11">
      <c r="A42">
        <f t="shared" si="0"/>
        <v>41</v>
      </c>
      <c r="B42">
        <f t="shared" si="1"/>
        <v>1</v>
      </c>
      <c r="C42" s="7" t="s">
        <v>132</v>
      </c>
      <c r="E42" t="s">
        <v>72</v>
      </c>
      <c r="F42" t="s">
        <v>91</v>
      </c>
      <c r="G42" s="7" t="s">
        <v>129</v>
      </c>
      <c r="J42" t="s">
        <v>130</v>
      </c>
      <c r="K42" t="s">
        <v>131</v>
      </c>
    </row>
    <row r="43" spans="1:11">
      <c r="A43">
        <f t="shared" si="0"/>
        <v>42</v>
      </c>
      <c r="B43">
        <f t="shared" si="1"/>
        <v>2</v>
      </c>
      <c r="C43" s="7" t="s">
        <v>135</v>
      </c>
      <c r="E43" t="s">
        <v>74</v>
      </c>
      <c r="F43" t="s">
        <v>91</v>
      </c>
      <c r="G43" s="7" t="s">
        <v>133</v>
      </c>
      <c r="H43" t="s">
        <v>73</v>
      </c>
      <c r="I43" t="s">
        <v>12</v>
      </c>
      <c r="J43" t="s">
        <v>134</v>
      </c>
      <c r="K43" t="s">
        <v>101</v>
      </c>
    </row>
    <row r="44" spans="1:11">
      <c r="A44">
        <f t="shared" si="0"/>
        <v>43</v>
      </c>
      <c r="B44">
        <f t="shared" si="1"/>
        <v>1</v>
      </c>
      <c r="C44" s="7" t="s">
        <v>75</v>
      </c>
      <c r="E44" t="s">
        <v>76</v>
      </c>
      <c r="F44" t="s">
        <v>91</v>
      </c>
      <c r="G44" s="7" t="s">
        <v>105</v>
      </c>
      <c r="I44" t="s">
        <v>106</v>
      </c>
      <c r="K44" t="s">
        <v>107</v>
      </c>
    </row>
    <row r="45" spans="1:11">
      <c r="A45">
        <f t="shared" si="0"/>
        <v>44</v>
      </c>
      <c r="B45">
        <f t="shared" si="1"/>
        <v>1</v>
      </c>
      <c r="C45" s="7" t="s">
        <v>77</v>
      </c>
      <c r="E45" t="s">
        <v>78</v>
      </c>
      <c r="F45" t="s">
        <v>91</v>
      </c>
      <c r="G45" s="7" t="s">
        <v>164</v>
      </c>
      <c r="H45" t="s">
        <v>77</v>
      </c>
      <c r="I45" t="s">
        <v>77</v>
      </c>
      <c r="K45" t="s">
        <v>165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everything_board_partlist_bom.c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2016-05-27T20:16:58Z</dcterms:created>
  <dcterms:modified xsi:type="dcterms:W3CDTF">2016-05-27T22:30:42Z</dcterms:modified>
</cp:coreProperties>
</file>