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0" yWindow="0" windowWidth="25600" windowHeight="14200" tabRatio="500"/>
  </bookViews>
  <sheets>
    <sheet name="metabolite_board_partlist_bom.c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" i="1"/>
</calcChain>
</file>

<file path=xl/sharedStrings.xml><?xml version="1.0" encoding="utf-8"?>
<sst xmlns="http://schemas.openxmlformats.org/spreadsheetml/2006/main" count="265" uniqueCount="189">
  <si>
    <t>1M</t>
  </si>
  <si>
    <t>R0201</t>
  </si>
  <si>
    <t>R43</t>
  </si>
  <si>
    <t>MMBF5457</t>
  </si>
  <si>
    <t>SOT23</t>
  </si>
  <si>
    <t>Q1</t>
  </si>
  <si>
    <t>C0402</t>
  </si>
  <si>
    <t>C25;C26</t>
  </si>
  <si>
    <t>CF</t>
  </si>
  <si>
    <t>U2</t>
  </si>
  <si>
    <t>C24;C68;C79;C80</t>
  </si>
  <si>
    <t>MSOP08</t>
  </si>
  <si>
    <t>U$1</t>
  </si>
  <si>
    <t>ADG711BRUZ</t>
  </si>
  <si>
    <t>U6</t>
  </si>
  <si>
    <t>U3</t>
  </si>
  <si>
    <t>SOD123</t>
  </si>
  <si>
    <t>D1</t>
  </si>
  <si>
    <t>HC_05</t>
  </si>
  <si>
    <t>U13</t>
  </si>
  <si>
    <t>AD8462</t>
  </si>
  <si>
    <t>U$2</t>
  </si>
  <si>
    <t>R26</t>
  </si>
  <si>
    <t>C1</t>
  </si>
  <si>
    <t>J3</t>
  </si>
  <si>
    <t>T1</t>
  </si>
  <si>
    <t>U20</t>
  </si>
  <si>
    <t>0.1p</t>
  </si>
  <si>
    <t>C14;C21</t>
  </si>
  <si>
    <t>R0402</t>
  </si>
  <si>
    <t>R27</t>
  </si>
  <si>
    <t>10uH</t>
  </si>
  <si>
    <t>L2;L3</t>
  </si>
  <si>
    <t>R8;R9</t>
  </si>
  <si>
    <t>13.3k</t>
  </si>
  <si>
    <t>R4</t>
  </si>
  <si>
    <t>100k</t>
  </si>
  <si>
    <t>C8;C13;C23;C27;C29;C36;C74</t>
  </si>
  <si>
    <t>U12</t>
  </si>
  <si>
    <t>SOT23-5</t>
  </si>
  <si>
    <t>U$5</t>
  </si>
  <si>
    <t>C0201</t>
  </si>
  <si>
    <t>820k</t>
  </si>
  <si>
    <t>R10;R11;R13;R14;R20;R21;R23;R24</t>
  </si>
  <si>
    <t>20k</t>
  </si>
  <si>
    <t>R44;R45</t>
  </si>
  <si>
    <t>CN1</t>
  </si>
  <si>
    <t>IC2</t>
  </si>
  <si>
    <t>C76</t>
  </si>
  <si>
    <t>C0603</t>
  </si>
  <si>
    <t>C2</t>
  </si>
  <si>
    <t>U4</t>
  </si>
  <si>
    <t>U1</t>
  </si>
  <si>
    <t>U5</t>
  </si>
  <si>
    <t>Q3</t>
  </si>
  <si>
    <t>2.2k</t>
  </si>
  <si>
    <t>R1;R2</t>
  </si>
  <si>
    <t>R3</t>
  </si>
  <si>
    <t>TLE2426IDR</t>
  </si>
  <si>
    <t>U15</t>
  </si>
  <si>
    <t>Item #</t>
  </si>
  <si>
    <t>Quantity per board</t>
  </si>
  <si>
    <t>Manufacturer Part #</t>
  </si>
  <si>
    <t>Do Not Install</t>
  </si>
  <si>
    <t>Reference designators</t>
  </si>
  <si>
    <t>Vendor (optional)</t>
  </si>
  <si>
    <t>Vendor Part Number (optional)</t>
  </si>
  <si>
    <t>Value (optional)</t>
  </si>
  <si>
    <t>Size / Footprint  (optional)</t>
  </si>
  <si>
    <t>Part description/ specs (optional, but recommended)</t>
  </si>
  <si>
    <t>Manfacturer (optional)</t>
  </si>
  <si>
    <t>Digikey</t>
  </si>
  <si>
    <t>MMBF5457CT-ND</t>
  </si>
  <si>
    <t>MMBF5457 N-channel JFET</t>
  </si>
  <si>
    <t>Fairchild</t>
  </si>
  <si>
    <t>490-5930-1-ND</t>
  </si>
  <si>
    <t>20pF</t>
  </si>
  <si>
    <t>20pF capacitor</t>
  </si>
  <si>
    <t>Murata</t>
  </si>
  <si>
    <t>GRM1555C1H200JA01D</t>
  </si>
  <si>
    <t>1276-1521-1-ND</t>
  </si>
  <si>
    <t>1500pF</t>
  </si>
  <si>
    <t>50V 1500pF capacitor</t>
  </si>
  <si>
    <t>Samsung</t>
  </si>
  <si>
    <t>CL05B152KB5NNNC</t>
  </si>
  <si>
    <t>LMR64010XMFE/NOPBCT-ND</t>
  </si>
  <si>
    <t>Texas Instruments</t>
  </si>
  <si>
    <t>LMR64010XMFE/NOPB</t>
  </si>
  <si>
    <t>490-1320-1-ND</t>
  </si>
  <si>
    <t>1uF</t>
  </si>
  <si>
    <t>GRM155R60J105KE19D</t>
  </si>
  <si>
    <t>ADG711BRUZ-ND</t>
  </si>
  <si>
    <t>16TSSOP</t>
  </si>
  <si>
    <t>Analog Devices</t>
  </si>
  <si>
    <t>LT6005IGN#PBF-ND</t>
  </si>
  <si>
    <t>16-SSOP</t>
  </si>
  <si>
    <t>Linear Technologies</t>
  </si>
  <si>
    <t>LT6005IGN#PBF</t>
  </si>
  <si>
    <t>ADG5401BRMZ-ND</t>
  </si>
  <si>
    <t>ADG5401BRMZ</t>
  </si>
  <si>
    <t>MBR0540L-TPMSTR-ND</t>
  </si>
  <si>
    <t>40V Schottky diode</t>
  </si>
  <si>
    <t>Micro Commercial</t>
  </si>
  <si>
    <t>MBR0540L-TP</t>
  </si>
  <si>
    <t>RHM39CCCT-ND</t>
  </si>
  <si>
    <t>Rohm Semiconductor</t>
  </si>
  <si>
    <t>MCR006YRTJ390</t>
  </si>
  <si>
    <t>RHM100KCBCT-ND</t>
  </si>
  <si>
    <t>MCR006YRTF1003</t>
  </si>
  <si>
    <t>1276-1469-1-ND</t>
  </si>
  <si>
    <t>2.2uF</t>
  </si>
  <si>
    <t>CL05A225MQ5NNNC</t>
  </si>
  <si>
    <t>DNI</t>
  </si>
  <si>
    <t>568-1632-1-ND</t>
  </si>
  <si>
    <t>65V NPN BJT</t>
  </si>
  <si>
    <t>NXP Semiconductors</t>
  </si>
  <si>
    <t>BC846B,215</t>
  </si>
  <si>
    <t>HFB105CT-ND</t>
  </si>
  <si>
    <t>Hirose</t>
  </si>
  <si>
    <t>FH12-5S-1SH(55)</t>
  </si>
  <si>
    <t>445-17073-1-ND</t>
  </si>
  <si>
    <t>TDK</t>
  </si>
  <si>
    <t>MLZ2012M100WTD25</t>
  </si>
  <si>
    <t>P13.3KLCT-ND</t>
  </si>
  <si>
    <t>Panasonic</t>
  </si>
  <si>
    <t>ERJ-2RKF1332X</t>
  </si>
  <si>
    <t>R65;R70; R53</t>
  </si>
  <si>
    <t>1276-1451-1-ND</t>
  </si>
  <si>
    <t>10uF capacitor</t>
  </si>
  <si>
    <t>CL05A106MQ5NUNC</t>
  </si>
  <si>
    <t>LTC3525ESC6-5#TRMPBFCT-ND</t>
  </si>
  <si>
    <t>SC70</t>
  </si>
  <si>
    <t>5V boost regulator</t>
  </si>
  <si>
    <t>LTC3525ESC6-5#TRMPBF</t>
  </si>
  <si>
    <t>LT1800CS5#TRMPBFCT-ND</t>
  </si>
  <si>
    <t>TSOT23-5</t>
  </si>
  <si>
    <t>LT1800CS5#TRMPBF</t>
  </si>
  <si>
    <t>296-1345-1-ND</t>
  </si>
  <si>
    <t>8_SOIC</t>
  </si>
  <si>
    <t>541-374KLCT-ND</t>
  </si>
  <si>
    <t>374k</t>
  </si>
  <si>
    <t>Vishay-Dale</t>
  </si>
  <si>
    <t>CRCW0402374KFKED</t>
  </si>
  <si>
    <t>541-2.20KAABCT-ND</t>
  </si>
  <si>
    <t>CRCW02012K20FKED</t>
  </si>
  <si>
    <t>644-1100-1-ND</t>
  </si>
  <si>
    <t>16 MHz oscillator</t>
  </si>
  <si>
    <t>NDK</t>
  </si>
  <si>
    <t>NX3225SA-16.000000MHZ-T1</t>
  </si>
  <si>
    <t>ATMEGA328P-AURCT-ND</t>
  </si>
  <si>
    <t>32-TQFP</t>
  </si>
  <si>
    <t>Atmel</t>
  </si>
  <si>
    <t>ATMEGA328P-AUR</t>
  </si>
  <si>
    <t>AD8276ARMZ-R7TR-ND</t>
  </si>
  <si>
    <t>8-MSOP</t>
  </si>
  <si>
    <t>AD8276ARMZ-R7</t>
  </si>
  <si>
    <t>296-27820-1-ND</t>
  </si>
  <si>
    <t>SOIC-8</t>
  </si>
  <si>
    <t>INA282AIDR</t>
  </si>
  <si>
    <t>445-9042-1-ND</t>
  </si>
  <si>
    <t>4.7uF capacitor</t>
  </si>
  <si>
    <t>35V capacitor</t>
  </si>
  <si>
    <t>C1608X5R1V475M080AC</t>
  </si>
  <si>
    <t>AP7313-33SAG-7DICT-ND</t>
  </si>
  <si>
    <t>3.3V LDO</t>
  </si>
  <si>
    <t>Diodes Incorporated</t>
  </si>
  <si>
    <t>AP7313-33SAG-7</t>
  </si>
  <si>
    <t>P820KABCT-ND</t>
  </si>
  <si>
    <t>ERJ-1GEF8203C</t>
  </si>
  <si>
    <t>541-1.00MABCT-ND</t>
  </si>
  <si>
    <t>CRCW02011M00FNED</t>
  </si>
  <si>
    <t>311-20KNCT-ND</t>
  </si>
  <si>
    <t>Yageo</t>
  </si>
  <si>
    <t>RC0201JR-0720KL</t>
  </si>
  <si>
    <t>490-1318-1-ND</t>
  </si>
  <si>
    <t>0.1uF capacitor</t>
  </si>
  <si>
    <t>GRM155R61A104KA01D</t>
  </si>
  <si>
    <t>490-3167-1-ND</t>
  </si>
  <si>
    <t>GRM033R60J104KE19D</t>
  </si>
  <si>
    <t>C3;C4;C5;C6;C7;C9;C10;C11;C12;C15;C16;C17;C18;C19;C20;C28;C30;C32;C33;C34</t>
  </si>
  <si>
    <t>490-3077-1-ND</t>
  </si>
  <si>
    <t>GJM1555C1HR10BB01D</t>
  </si>
  <si>
    <t>0.1pF capacitor</t>
  </si>
  <si>
    <t>CRCW04021M00DHEDP</t>
  </si>
  <si>
    <t>541-1.0MAVCT-ND</t>
  </si>
  <si>
    <t>RC0402FR-07249RL</t>
  </si>
  <si>
    <t>311-249LRCT-ND</t>
  </si>
  <si>
    <t>AD8642ARMZ-ND</t>
  </si>
  <si>
    <t>AD8642ARMZ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</si>
</sst>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Arial"/>
    </font>
    <font>
      <b/>
      <sz val="10"/>
      <color rgb="FF00B050"/>
      <name val="Calibri"/>
    </font>
    <font>
      <b/>
      <sz val="10"/>
      <name val="Calibri"/>
    </font>
    <font>
      <sz val="12"/>
      <color theme="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D21" sqref="D21"/>
    </sheetView>
  </sheetViews>
  <sheetFormatPr baseColWidth="10" defaultRowHeight="15" x14ac:dyDescent="0"/>
  <cols>
    <col min="1" max="1" width="9.33203125" customWidth="1"/>
    <col min="2" max="2" width="11.33203125" customWidth="1"/>
    <col min="3" max="3" width="40.83203125" customWidth="1"/>
    <col min="4" max="4" width="20.1640625" customWidth="1"/>
    <col min="5" max="5" width="31.5" customWidth="1"/>
    <col min="8" max="8" width="18.83203125" customWidth="1"/>
    <col min="9" max="9" width="22.1640625" customWidth="1"/>
  </cols>
  <sheetData>
    <row r="1" spans="1:11" ht="84">
      <c r="A1" s="2" t="s">
        <v>60</v>
      </c>
      <c r="B1" s="3" t="s">
        <v>61</v>
      </c>
      <c r="C1" s="4" t="s">
        <v>62</v>
      </c>
      <c r="D1" s="5" t="s">
        <v>63</v>
      </c>
      <c r="E1" s="2" t="s">
        <v>64</v>
      </c>
      <c r="F1" s="6" t="s">
        <v>65</v>
      </c>
      <c r="G1" s="6" t="s">
        <v>66</v>
      </c>
      <c r="H1" s="7" t="s">
        <v>67</v>
      </c>
      <c r="I1" s="7" t="s">
        <v>68</v>
      </c>
      <c r="J1" s="6" t="s">
        <v>69</v>
      </c>
      <c r="K1" s="7" t="s">
        <v>70</v>
      </c>
    </row>
    <row r="2" spans="1:11">
      <c r="A2" s="8">
        <f>ROW()-1</f>
        <v>1</v>
      </c>
      <c r="B2" s="8">
        <f>1+LEN(E2)-LEN(SUBSTITUTE(E2,";",""))</f>
        <v>1</v>
      </c>
      <c r="C2" s="1" t="s">
        <v>170</v>
      </c>
      <c r="D2" s="8"/>
      <c r="E2" s="8" t="s">
        <v>2</v>
      </c>
      <c r="F2" t="s">
        <v>71</v>
      </c>
      <c r="G2" s="1" t="s">
        <v>169</v>
      </c>
      <c r="H2" t="s">
        <v>0</v>
      </c>
      <c r="I2" t="s">
        <v>1</v>
      </c>
      <c r="K2" t="s">
        <v>141</v>
      </c>
    </row>
    <row r="3" spans="1:11">
      <c r="A3" s="8">
        <f t="shared" ref="A3:A41" si="0">ROW()-1</f>
        <v>2</v>
      </c>
      <c r="B3" s="8">
        <f t="shared" ref="B3:B41" si="1">1+LEN(E3)-LEN(SUBSTITUTE(E3,";",""))</f>
        <v>1</v>
      </c>
      <c r="C3" s="9" t="s">
        <v>3</v>
      </c>
      <c r="D3" s="8"/>
      <c r="E3" s="8" t="s">
        <v>5</v>
      </c>
      <c r="F3" s="8" t="s">
        <v>71</v>
      </c>
      <c r="G3" s="9" t="s">
        <v>72</v>
      </c>
      <c r="H3" s="8" t="s">
        <v>73</v>
      </c>
      <c r="I3" s="8" t="s">
        <v>4</v>
      </c>
      <c r="J3" s="8"/>
      <c r="K3" s="8" t="s">
        <v>74</v>
      </c>
    </row>
    <row r="4" spans="1:11">
      <c r="A4" s="8">
        <f t="shared" si="0"/>
        <v>3</v>
      </c>
      <c r="B4" s="8">
        <f t="shared" si="1"/>
        <v>2</v>
      </c>
      <c r="C4" s="1" t="s">
        <v>79</v>
      </c>
      <c r="D4" s="8"/>
      <c r="E4" s="8" t="s">
        <v>7</v>
      </c>
      <c r="F4" t="s">
        <v>71</v>
      </c>
      <c r="G4" s="1" t="s">
        <v>75</v>
      </c>
      <c r="H4" t="s">
        <v>76</v>
      </c>
      <c r="I4" t="s">
        <v>6</v>
      </c>
      <c r="J4" t="s">
        <v>77</v>
      </c>
      <c r="K4" t="s">
        <v>78</v>
      </c>
    </row>
    <row r="5" spans="1:11">
      <c r="A5" s="8">
        <f t="shared" si="0"/>
        <v>4</v>
      </c>
      <c r="B5" s="8">
        <f t="shared" si="1"/>
        <v>1</v>
      </c>
      <c r="C5" s="1" t="s">
        <v>84</v>
      </c>
      <c r="D5" s="8"/>
      <c r="E5" s="8" t="s">
        <v>8</v>
      </c>
      <c r="F5" t="s">
        <v>71</v>
      </c>
      <c r="G5" s="1" t="s">
        <v>80</v>
      </c>
      <c r="H5" t="s">
        <v>81</v>
      </c>
      <c r="I5" t="s">
        <v>6</v>
      </c>
      <c r="J5" t="s">
        <v>82</v>
      </c>
      <c r="K5" t="s">
        <v>83</v>
      </c>
    </row>
    <row r="6" spans="1:11">
      <c r="A6" s="8">
        <f t="shared" si="0"/>
        <v>5</v>
      </c>
      <c r="B6" s="8">
        <f t="shared" si="1"/>
        <v>1</v>
      </c>
      <c r="C6" s="1" t="s">
        <v>87</v>
      </c>
      <c r="D6" s="8"/>
      <c r="E6" s="8" t="s">
        <v>9</v>
      </c>
      <c r="F6" t="s">
        <v>71</v>
      </c>
      <c r="G6" s="1" t="s">
        <v>85</v>
      </c>
      <c r="I6" t="s">
        <v>39</v>
      </c>
      <c r="K6" t="s">
        <v>86</v>
      </c>
    </row>
    <row r="7" spans="1:11">
      <c r="A7" s="8">
        <f t="shared" si="0"/>
        <v>6</v>
      </c>
      <c r="B7" s="8">
        <f t="shared" si="1"/>
        <v>4</v>
      </c>
      <c r="C7" s="1" t="s">
        <v>90</v>
      </c>
      <c r="D7" s="8"/>
      <c r="E7" s="8" t="s">
        <v>10</v>
      </c>
      <c r="F7" t="s">
        <v>71</v>
      </c>
      <c r="G7" s="1" t="s">
        <v>88</v>
      </c>
      <c r="H7" t="s">
        <v>89</v>
      </c>
      <c r="I7" t="s">
        <v>6</v>
      </c>
      <c r="K7" t="s">
        <v>78</v>
      </c>
    </row>
    <row r="8" spans="1:11">
      <c r="A8" s="8">
        <f t="shared" si="0"/>
        <v>7</v>
      </c>
      <c r="B8" s="8">
        <f t="shared" si="1"/>
        <v>1</v>
      </c>
      <c r="C8" s="1" t="s">
        <v>99</v>
      </c>
      <c r="D8" s="8"/>
      <c r="E8" s="8" t="s">
        <v>12</v>
      </c>
      <c r="F8" t="s">
        <v>71</v>
      </c>
      <c r="G8" s="1" t="s">
        <v>98</v>
      </c>
      <c r="K8" t="s">
        <v>93</v>
      </c>
    </row>
    <row r="9" spans="1:11">
      <c r="A9" s="8">
        <f t="shared" si="0"/>
        <v>8</v>
      </c>
      <c r="B9" s="8">
        <f t="shared" si="1"/>
        <v>1</v>
      </c>
      <c r="C9" s="1" t="s">
        <v>13</v>
      </c>
      <c r="D9" s="8"/>
      <c r="E9" s="8" t="s">
        <v>14</v>
      </c>
      <c r="F9" t="s">
        <v>71</v>
      </c>
      <c r="G9" s="1" t="s">
        <v>91</v>
      </c>
      <c r="I9" t="s">
        <v>92</v>
      </c>
      <c r="K9" t="s">
        <v>93</v>
      </c>
    </row>
    <row r="10" spans="1:11">
      <c r="A10" s="8">
        <f t="shared" si="0"/>
        <v>9</v>
      </c>
      <c r="B10" s="8">
        <f t="shared" si="1"/>
        <v>1</v>
      </c>
      <c r="C10" s="1" t="s">
        <v>97</v>
      </c>
      <c r="D10" s="8"/>
      <c r="E10" s="8" t="s">
        <v>15</v>
      </c>
      <c r="F10" t="s">
        <v>71</v>
      </c>
      <c r="G10" s="1" t="s">
        <v>94</v>
      </c>
      <c r="I10" t="s">
        <v>95</v>
      </c>
      <c r="K10" t="s">
        <v>96</v>
      </c>
    </row>
    <row r="11" spans="1:11">
      <c r="A11" s="8">
        <f t="shared" si="0"/>
        <v>10</v>
      </c>
      <c r="B11" s="8">
        <f t="shared" si="1"/>
        <v>1</v>
      </c>
      <c r="C11" s="1" t="s">
        <v>103</v>
      </c>
      <c r="D11" s="8"/>
      <c r="E11" s="8" t="s">
        <v>17</v>
      </c>
      <c r="F11" t="s">
        <v>71</v>
      </c>
      <c r="G11" s="1" t="s">
        <v>100</v>
      </c>
      <c r="I11" t="s">
        <v>16</v>
      </c>
      <c r="J11" t="s">
        <v>101</v>
      </c>
      <c r="K11" t="s">
        <v>102</v>
      </c>
    </row>
    <row r="12" spans="1:11">
      <c r="A12" s="8">
        <f t="shared" si="0"/>
        <v>11</v>
      </c>
      <c r="B12" s="8">
        <f t="shared" si="1"/>
        <v>1</v>
      </c>
      <c r="C12" s="8"/>
      <c r="D12" s="8" t="s">
        <v>112</v>
      </c>
      <c r="E12" s="8" t="s">
        <v>19</v>
      </c>
      <c r="F12" s="8"/>
      <c r="G12" s="8"/>
      <c r="H12" s="8" t="s">
        <v>18</v>
      </c>
      <c r="I12" s="8"/>
      <c r="J12" s="8"/>
      <c r="K12" s="8"/>
    </row>
    <row r="13" spans="1:11">
      <c r="A13" s="8">
        <f t="shared" si="0"/>
        <v>12</v>
      </c>
      <c r="B13" s="8">
        <f t="shared" si="1"/>
        <v>1</v>
      </c>
      <c r="C13" s="1" t="s">
        <v>188</v>
      </c>
      <c r="D13" s="8"/>
      <c r="E13" s="8" t="s">
        <v>21</v>
      </c>
      <c r="F13" s="8" t="s">
        <v>71</v>
      </c>
      <c r="G13" s="1" t="s">
        <v>187</v>
      </c>
      <c r="H13" s="8" t="s">
        <v>20</v>
      </c>
      <c r="I13" s="8" t="s">
        <v>11</v>
      </c>
      <c r="J13" s="8"/>
      <c r="K13" s="8" t="s">
        <v>93</v>
      </c>
    </row>
    <row r="14" spans="1:11">
      <c r="A14" s="8">
        <f t="shared" si="0"/>
        <v>13</v>
      </c>
      <c r="B14" s="8">
        <f t="shared" si="1"/>
        <v>1</v>
      </c>
      <c r="C14" s="1" t="s">
        <v>106</v>
      </c>
      <c r="D14" s="8"/>
      <c r="E14" s="8" t="s">
        <v>22</v>
      </c>
      <c r="F14" t="s">
        <v>71</v>
      </c>
      <c r="G14" s="1" t="s">
        <v>104</v>
      </c>
      <c r="H14">
        <v>39</v>
      </c>
      <c r="I14" t="s">
        <v>1</v>
      </c>
      <c r="K14" t="s">
        <v>105</v>
      </c>
    </row>
    <row r="15" spans="1:11">
      <c r="A15" s="8">
        <f t="shared" si="0"/>
        <v>14</v>
      </c>
      <c r="B15" s="8">
        <f t="shared" si="1"/>
        <v>3</v>
      </c>
      <c r="C15" s="1" t="s">
        <v>108</v>
      </c>
      <c r="D15" s="8"/>
      <c r="E15" s="8" t="s">
        <v>126</v>
      </c>
      <c r="F15" t="s">
        <v>71</v>
      </c>
      <c r="G15" s="1" t="s">
        <v>107</v>
      </c>
      <c r="H15" t="s">
        <v>36</v>
      </c>
      <c r="I15" t="s">
        <v>1</v>
      </c>
      <c r="K15" t="s">
        <v>105</v>
      </c>
    </row>
    <row r="16" spans="1:11">
      <c r="A16" s="8">
        <f t="shared" si="0"/>
        <v>15</v>
      </c>
      <c r="B16" s="8">
        <f t="shared" si="1"/>
        <v>1</v>
      </c>
      <c r="C16" s="1" t="s">
        <v>111</v>
      </c>
      <c r="D16" s="8"/>
      <c r="E16" s="8" t="s">
        <v>23</v>
      </c>
      <c r="F16" t="s">
        <v>71</v>
      </c>
      <c r="G16" s="1" t="s">
        <v>109</v>
      </c>
      <c r="H16" t="s">
        <v>110</v>
      </c>
      <c r="I16" t="s">
        <v>6</v>
      </c>
      <c r="K16" t="s">
        <v>83</v>
      </c>
    </row>
    <row r="17" spans="1:11">
      <c r="A17" s="8">
        <f t="shared" si="0"/>
        <v>16</v>
      </c>
      <c r="B17" s="8">
        <f t="shared" si="1"/>
        <v>1</v>
      </c>
      <c r="C17" s="8"/>
      <c r="D17" s="8" t="s">
        <v>112</v>
      </c>
      <c r="E17" s="8" t="s">
        <v>24</v>
      </c>
      <c r="F17" s="8"/>
      <c r="G17" s="8"/>
      <c r="H17" s="8"/>
      <c r="I17" s="8"/>
      <c r="J17" s="8"/>
      <c r="K17" s="8"/>
    </row>
    <row r="18" spans="1:11">
      <c r="A18" s="8">
        <f t="shared" si="0"/>
        <v>17</v>
      </c>
      <c r="B18" s="8">
        <f t="shared" si="1"/>
        <v>1</v>
      </c>
      <c r="C18" s="1" t="s">
        <v>116</v>
      </c>
      <c r="D18" s="8"/>
      <c r="E18" s="8" t="s">
        <v>25</v>
      </c>
      <c r="F18" t="s">
        <v>71</v>
      </c>
      <c r="G18" s="1" t="s">
        <v>113</v>
      </c>
      <c r="I18" t="s">
        <v>4</v>
      </c>
      <c r="J18" t="s">
        <v>114</v>
      </c>
      <c r="K18" t="s">
        <v>115</v>
      </c>
    </row>
    <row r="19" spans="1:11">
      <c r="A19" s="8">
        <f t="shared" si="0"/>
        <v>18</v>
      </c>
      <c r="B19" s="8">
        <f t="shared" si="1"/>
        <v>1</v>
      </c>
      <c r="C19" s="1" t="s">
        <v>119</v>
      </c>
      <c r="D19" s="8"/>
      <c r="E19" s="8" t="s">
        <v>26</v>
      </c>
      <c r="F19" t="s">
        <v>71</v>
      </c>
      <c r="G19" s="1" t="s">
        <v>117</v>
      </c>
      <c r="K19" t="s">
        <v>118</v>
      </c>
    </row>
    <row r="20" spans="1:11">
      <c r="A20" s="8">
        <f t="shared" si="0"/>
        <v>19</v>
      </c>
      <c r="B20" s="8">
        <f t="shared" si="1"/>
        <v>2</v>
      </c>
      <c r="C20" s="1" t="s">
        <v>181</v>
      </c>
      <c r="D20" s="8"/>
      <c r="E20" s="8" t="s">
        <v>28</v>
      </c>
      <c r="F20" s="8" t="s">
        <v>71</v>
      </c>
      <c r="G20" s="1" t="s">
        <v>180</v>
      </c>
      <c r="H20" s="8" t="s">
        <v>27</v>
      </c>
      <c r="I20" s="8" t="s">
        <v>6</v>
      </c>
      <c r="J20" s="8" t="s">
        <v>182</v>
      </c>
      <c r="K20" s="8" t="s">
        <v>78</v>
      </c>
    </row>
    <row r="21" spans="1:11">
      <c r="A21" s="8">
        <f t="shared" si="0"/>
        <v>20</v>
      </c>
      <c r="B21" s="8">
        <f t="shared" si="1"/>
        <v>1</v>
      </c>
      <c r="C21" s="1" t="s">
        <v>185</v>
      </c>
      <c r="D21" s="8"/>
      <c r="E21" s="8" t="s">
        <v>30</v>
      </c>
      <c r="F21" s="8" t="s">
        <v>71</v>
      </c>
      <c r="G21" s="1" t="s">
        <v>186</v>
      </c>
      <c r="H21" s="8">
        <v>249</v>
      </c>
      <c r="I21" s="8" t="s">
        <v>29</v>
      </c>
      <c r="J21" s="8"/>
      <c r="K21" s="8" t="s">
        <v>172</v>
      </c>
    </row>
    <row r="22" spans="1:11">
      <c r="A22" s="8">
        <f t="shared" si="0"/>
        <v>21</v>
      </c>
      <c r="B22" s="8">
        <f t="shared" si="1"/>
        <v>2</v>
      </c>
      <c r="C22" s="1" t="s">
        <v>122</v>
      </c>
      <c r="D22" s="8"/>
      <c r="E22" s="8" t="s">
        <v>32</v>
      </c>
      <c r="F22" t="s">
        <v>71</v>
      </c>
      <c r="G22" s="1" t="s">
        <v>120</v>
      </c>
      <c r="H22" t="s">
        <v>31</v>
      </c>
      <c r="I22">
        <v>805</v>
      </c>
      <c r="K22" t="s">
        <v>121</v>
      </c>
    </row>
    <row r="23" spans="1:11">
      <c r="A23" s="8">
        <f t="shared" si="0"/>
        <v>22</v>
      </c>
      <c r="B23" s="8">
        <f t="shared" si="1"/>
        <v>2</v>
      </c>
      <c r="C23" s="1" t="s">
        <v>183</v>
      </c>
      <c r="D23" s="8"/>
      <c r="E23" s="8" t="s">
        <v>33</v>
      </c>
      <c r="F23" s="8" t="s">
        <v>71</v>
      </c>
      <c r="G23" s="1" t="s">
        <v>184</v>
      </c>
      <c r="H23" s="8" t="s">
        <v>0</v>
      </c>
      <c r="I23" s="8" t="s">
        <v>29</v>
      </c>
      <c r="J23" s="8"/>
      <c r="K23" s="8" t="s">
        <v>141</v>
      </c>
    </row>
    <row r="24" spans="1:11">
      <c r="A24" s="8">
        <f t="shared" si="0"/>
        <v>23</v>
      </c>
      <c r="B24" s="8">
        <f t="shared" si="1"/>
        <v>1</v>
      </c>
      <c r="C24" s="1" t="s">
        <v>125</v>
      </c>
      <c r="D24" s="8"/>
      <c r="E24" s="8" t="s">
        <v>35</v>
      </c>
      <c r="F24" t="s">
        <v>71</v>
      </c>
      <c r="G24" s="1" t="s">
        <v>123</v>
      </c>
      <c r="H24" t="s">
        <v>34</v>
      </c>
      <c r="I24" t="s">
        <v>29</v>
      </c>
      <c r="K24" t="s">
        <v>124</v>
      </c>
    </row>
    <row r="25" spans="1:11">
      <c r="A25" s="8">
        <f t="shared" si="0"/>
        <v>24</v>
      </c>
      <c r="B25" s="8">
        <f t="shared" si="1"/>
        <v>7</v>
      </c>
      <c r="C25" s="1" t="s">
        <v>129</v>
      </c>
      <c r="D25" s="8"/>
      <c r="E25" s="8" t="s">
        <v>37</v>
      </c>
      <c r="F25" t="s">
        <v>71</v>
      </c>
      <c r="G25" s="1" t="s">
        <v>127</v>
      </c>
      <c r="H25" t="s">
        <v>128</v>
      </c>
      <c r="I25" t="s">
        <v>6</v>
      </c>
      <c r="K25" t="s">
        <v>83</v>
      </c>
    </row>
    <row r="26" spans="1:11">
      <c r="A26" s="8">
        <f t="shared" si="0"/>
        <v>25</v>
      </c>
      <c r="B26" s="8">
        <f t="shared" si="1"/>
        <v>1</v>
      </c>
      <c r="C26" s="1" t="s">
        <v>133</v>
      </c>
      <c r="D26" s="8"/>
      <c r="E26" s="8" t="s">
        <v>38</v>
      </c>
      <c r="F26" t="s">
        <v>71</v>
      </c>
      <c r="G26" s="1" t="s">
        <v>130</v>
      </c>
      <c r="I26" t="s">
        <v>131</v>
      </c>
      <c r="J26" t="s">
        <v>132</v>
      </c>
      <c r="K26" t="s">
        <v>96</v>
      </c>
    </row>
    <row r="27" spans="1:11">
      <c r="A27" s="8">
        <f t="shared" si="0"/>
        <v>26</v>
      </c>
      <c r="B27" s="8">
        <f t="shared" si="1"/>
        <v>1</v>
      </c>
      <c r="C27" s="1" t="s">
        <v>136</v>
      </c>
      <c r="D27" s="8"/>
      <c r="E27" s="8" t="s">
        <v>40</v>
      </c>
      <c r="F27" t="s">
        <v>71</v>
      </c>
      <c r="G27" s="1" t="s">
        <v>134</v>
      </c>
      <c r="I27" t="s">
        <v>135</v>
      </c>
      <c r="K27" t="s">
        <v>96</v>
      </c>
    </row>
    <row r="28" spans="1:11">
      <c r="A28" s="8">
        <f t="shared" si="0"/>
        <v>27</v>
      </c>
      <c r="B28" s="8">
        <f t="shared" si="1"/>
        <v>8</v>
      </c>
      <c r="C28" s="1" t="s">
        <v>168</v>
      </c>
      <c r="D28" s="8"/>
      <c r="E28" s="8" t="s">
        <v>43</v>
      </c>
      <c r="F28" t="s">
        <v>71</v>
      </c>
      <c r="G28" s="1" t="s">
        <v>167</v>
      </c>
      <c r="H28" t="s">
        <v>42</v>
      </c>
      <c r="I28" t="s">
        <v>1</v>
      </c>
      <c r="K28" t="s">
        <v>124</v>
      </c>
    </row>
    <row r="29" spans="1:11">
      <c r="A29" s="8">
        <f t="shared" si="0"/>
        <v>28</v>
      </c>
      <c r="B29" s="8">
        <f t="shared" si="1"/>
        <v>2</v>
      </c>
      <c r="C29" s="1" t="s">
        <v>173</v>
      </c>
      <c r="D29" s="8"/>
      <c r="E29" s="8" t="s">
        <v>45</v>
      </c>
      <c r="F29" t="s">
        <v>71</v>
      </c>
      <c r="G29" s="1" t="s">
        <v>171</v>
      </c>
      <c r="H29" t="s">
        <v>44</v>
      </c>
      <c r="I29" t="s">
        <v>1</v>
      </c>
      <c r="K29" t="s">
        <v>172</v>
      </c>
    </row>
    <row r="30" spans="1:11">
      <c r="A30" s="8">
        <f t="shared" si="0"/>
        <v>29</v>
      </c>
      <c r="B30" s="8">
        <f t="shared" si="1"/>
        <v>1</v>
      </c>
      <c r="C30" s="8"/>
      <c r="D30" s="8" t="s">
        <v>112</v>
      </c>
      <c r="E30" s="8" t="s">
        <v>46</v>
      </c>
      <c r="F30" s="8"/>
      <c r="G30" s="8"/>
      <c r="H30" s="8"/>
      <c r="I30" s="8"/>
      <c r="J30" s="8"/>
      <c r="K30" s="8"/>
    </row>
    <row r="31" spans="1:11">
      <c r="A31" s="8">
        <f t="shared" si="0"/>
        <v>30</v>
      </c>
      <c r="B31" s="8">
        <f t="shared" si="1"/>
        <v>20</v>
      </c>
      <c r="C31" s="1" t="s">
        <v>178</v>
      </c>
      <c r="D31" s="8"/>
      <c r="E31" s="8" t="s">
        <v>179</v>
      </c>
      <c r="F31" t="s">
        <v>71</v>
      </c>
      <c r="G31" s="1" t="s">
        <v>177</v>
      </c>
      <c r="H31" t="s">
        <v>175</v>
      </c>
      <c r="I31" t="s">
        <v>41</v>
      </c>
      <c r="K31" t="s">
        <v>78</v>
      </c>
    </row>
    <row r="32" spans="1:11">
      <c r="A32" s="8">
        <f t="shared" si="0"/>
        <v>31</v>
      </c>
      <c r="B32" s="8">
        <f t="shared" si="1"/>
        <v>1</v>
      </c>
      <c r="C32" s="1" t="s">
        <v>166</v>
      </c>
      <c r="D32" s="8"/>
      <c r="E32" s="8" t="s">
        <v>47</v>
      </c>
      <c r="F32" t="s">
        <v>71</v>
      </c>
      <c r="G32" s="1" t="s">
        <v>163</v>
      </c>
      <c r="I32" t="s">
        <v>4</v>
      </c>
      <c r="J32" t="s">
        <v>164</v>
      </c>
      <c r="K32" t="s">
        <v>165</v>
      </c>
    </row>
    <row r="33" spans="1:11">
      <c r="A33" s="8">
        <f t="shared" si="0"/>
        <v>32</v>
      </c>
      <c r="B33" s="8">
        <f t="shared" si="1"/>
        <v>1</v>
      </c>
      <c r="C33" s="1" t="s">
        <v>176</v>
      </c>
      <c r="D33" s="8"/>
      <c r="E33" s="8" t="s">
        <v>48</v>
      </c>
      <c r="F33" t="s">
        <v>71</v>
      </c>
      <c r="G33" s="1" t="s">
        <v>174</v>
      </c>
      <c r="H33" t="s">
        <v>175</v>
      </c>
      <c r="I33" t="s">
        <v>6</v>
      </c>
      <c r="K33" t="s">
        <v>78</v>
      </c>
    </row>
    <row r="34" spans="1:11">
      <c r="A34" s="8">
        <f t="shared" si="0"/>
        <v>33</v>
      </c>
      <c r="B34" s="8">
        <f t="shared" si="1"/>
        <v>1</v>
      </c>
      <c r="C34" s="1" t="s">
        <v>162</v>
      </c>
      <c r="D34" s="8"/>
      <c r="E34" s="8" t="s">
        <v>50</v>
      </c>
      <c r="F34" t="s">
        <v>71</v>
      </c>
      <c r="G34" s="1" t="s">
        <v>159</v>
      </c>
      <c r="H34" t="s">
        <v>160</v>
      </c>
      <c r="I34" t="s">
        <v>49</v>
      </c>
      <c r="J34" t="s">
        <v>161</v>
      </c>
      <c r="K34" t="s">
        <v>121</v>
      </c>
    </row>
    <row r="35" spans="1:11">
      <c r="A35" s="8">
        <f t="shared" si="0"/>
        <v>34</v>
      </c>
      <c r="B35" s="8">
        <f t="shared" si="1"/>
        <v>1</v>
      </c>
      <c r="C35" s="1" t="s">
        <v>158</v>
      </c>
      <c r="D35" s="8"/>
      <c r="E35" s="8" t="s">
        <v>51</v>
      </c>
      <c r="F35" t="s">
        <v>71</v>
      </c>
      <c r="G35" s="1" t="s">
        <v>156</v>
      </c>
      <c r="I35" t="s">
        <v>157</v>
      </c>
      <c r="K35" t="s">
        <v>86</v>
      </c>
    </row>
    <row r="36" spans="1:11">
      <c r="A36" s="8">
        <f t="shared" si="0"/>
        <v>35</v>
      </c>
      <c r="B36" s="8">
        <f t="shared" si="1"/>
        <v>1</v>
      </c>
      <c r="C36" s="1" t="s">
        <v>155</v>
      </c>
      <c r="D36" s="8"/>
      <c r="E36" s="8" t="s">
        <v>52</v>
      </c>
      <c r="F36" t="s">
        <v>71</v>
      </c>
      <c r="G36" s="1" t="s">
        <v>153</v>
      </c>
      <c r="I36" t="s">
        <v>154</v>
      </c>
      <c r="K36" t="s">
        <v>93</v>
      </c>
    </row>
    <row r="37" spans="1:11">
      <c r="A37" s="8">
        <f t="shared" si="0"/>
        <v>36</v>
      </c>
      <c r="B37" s="8">
        <f t="shared" si="1"/>
        <v>1</v>
      </c>
      <c r="C37" s="1" t="s">
        <v>152</v>
      </c>
      <c r="D37" s="8"/>
      <c r="E37" s="8" t="s">
        <v>53</v>
      </c>
      <c r="F37" t="s">
        <v>71</v>
      </c>
      <c r="G37" s="1" t="s">
        <v>149</v>
      </c>
      <c r="I37" s="1" t="s">
        <v>150</v>
      </c>
      <c r="K37" s="1" t="s">
        <v>151</v>
      </c>
    </row>
    <row r="38" spans="1:11">
      <c r="A38" s="8">
        <f t="shared" si="0"/>
        <v>37</v>
      </c>
      <c r="B38" s="8">
        <f t="shared" si="1"/>
        <v>1</v>
      </c>
      <c r="C38" s="1" t="s">
        <v>148</v>
      </c>
      <c r="D38" s="8"/>
      <c r="E38" s="8" t="s">
        <v>54</v>
      </c>
      <c r="F38" t="s">
        <v>71</v>
      </c>
      <c r="G38" s="1" t="s">
        <v>145</v>
      </c>
      <c r="J38" t="s">
        <v>146</v>
      </c>
      <c r="K38" t="s">
        <v>147</v>
      </c>
    </row>
    <row r="39" spans="1:11">
      <c r="A39" s="8">
        <f t="shared" si="0"/>
        <v>38</v>
      </c>
      <c r="B39" s="8">
        <f t="shared" si="1"/>
        <v>2</v>
      </c>
      <c r="C39" s="1" t="s">
        <v>144</v>
      </c>
      <c r="D39" s="8"/>
      <c r="E39" s="8" t="s">
        <v>56</v>
      </c>
      <c r="F39" t="s">
        <v>71</v>
      </c>
      <c r="G39" s="1" t="s">
        <v>143</v>
      </c>
      <c r="H39" t="s">
        <v>55</v>
      </c>
      <c r="I39" t="s">
        <v>1</v>
      </c>
      <c r="K39" t="s">
        <v>141</v>
      </c>
    </row>
    <row r="40" spans="1:11">
      <c r="A40" s="8">
        <f t="shared" si="0"/>
        <v>39</v>
      </c>
      <c r="B40" s="8">
        <f t="shared" si="1"/>
        <v>1</v>
      </c>
      <c r="C40" s="1" t="s">
        <v>142</v>
      </c>
      <c r="D40" s="8"/>
      <c r="E40" s="8" t="s">
        <v>57</v>
      </c>
      <c r="F40" t="s">
        <v>71</v>
      </c>
      <c r="G40" s="1" t="s">
        <v>139</v>
      </c>
      <c r="H40" t="s">
        <v>140</v>
      </c>
      <c r="I40" t="s">
        <v>29</v>
      </c>
      <c r="K40" t="s">
        <v>141</v>
      </c>
    </row>
    <row r="41" spans="1:11">
      <c r="A41" s="8">
        <f t="shared" si="0"/>
        <v>40</v>
      </c>
      <c r="B41" s="8">
        <f t="shared" si="1"/>
        <v>1</v>
      </c>
      <c r="C41" s="1" t="s">
        <v>58</v>
      </c>
      <c r="D41" s="8"/>
      <c r="E41" s="8" t="s">
        <v>59</v>
      </c>
      <c r="F41" t="s">
        <v>71</v>
      </c>
      <c r="G41" s="1" t="s">
        <v>137</v>
      </c>
      <c r="I41" t="s">
        <v>138</v>
      </c>
      <c r="K41" t="s">
        <v>86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metabolite_board_partlist_bom.c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2016-05-25T19:23:48Z</dcterms:created>
  <dcterms:modified xsi:type="dcterms:W3CDTF">2016-05-25T20:54:43Z</dcterms:modified>
</cp:coreProperties>
</file>