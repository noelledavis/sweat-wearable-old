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" i="1"/>
</calcChain>
</file>

<file path=xl/sharedStrings.xml><?xml version="1.0" encoding="utf-8"?>
<sst xmlns="http://schemas.openxmlformats.org/spreadsheetml/2006/main" count="269" uniqueCount="192">
  <si>
    <t>Item #</t>
  </si>
  <si>
    <t>Quantity per board</t>
  </si>
  <si>
    <t>Manufacturer Part #</t>
  </si>
  <si>
    <t>Do Not Install</t>
  </si>
  <si>
    <t>Reference designators</t>
  </si>
  <si>
    <t>C2</t>
  </si>
  <si>
    <t>Vendor (optional)</t>
  </si>
  <si>
    <t>Vendor Part Number (optional)</t>
  </si>
  <si>
    <t>Value (optional)</t>
  </si>
  <si>
    <t>Size / Footprint  (optional)</t>
  </si>
  <si>
    <t>Part description/ specs (optional, but recommended)</t>
  </si>
  <si>
    <t>Manfacturer (optional)</t>
  </si>
  <si>
    <t>C0603</t>
  </si>
  <si>
    <t>C0201</t>
  </si>
  <si>
    <t>C24,C68,C79,C80</t>
  </si>
  <si>
    <t>C0402</t>
  </si>
  <si>
    <t>1uF</t>
  </si>
  <si>
    <t>R43</t>
  </si>
  <si>
    <t>1M</t>
  </si>
  <si>
    <t>R0201</t>
  </si>
  <si>
    <t>CRCW02011M00FNED</t>
  </si>
  <si>
    <t>Vishay-Dale</t>
  </si>
  <si>
    <t>Digikey</t>
  </si>
  <si>
    <t>541-1.00MABCT-ND</t>
  </si>
  <si>
    <t>MMBF5457</t>
  </si>
  <si>
    <t>SOT23</t>
  </si>
  <si>
    <t>Q1</t>
  </si>
  <si>
    <t>MMBF5457CT-ND</t>
  </si>
  <si>
    <t>MMBF5457 N-channel JFET</t>
  </si>
  <si>
    <t>Fairchild</t>
  </si>
  <si>
    <t>GRM1555C1H200JA01D</t>
  </si>
  <si>
    <t>C25,C26</t>
  </si>
  <si>
    <t>490-5930-1-ND</t>
  </si>
  <si>
    <t>20pF</t>
  </si>
  <si>
    <t>20pF capacitor</t>
  </si>
  <si>
    <t>Murata</t>
  </si>
  <si>
    <t>CL05B152KB5NNNC</t>
  </si>
  <si>
    <t>CF</t>
  </si>
  <si>
    <t>1276-1521-1-ND</t>
  </si>
  <si>
    <t>1500pF</t>
  </si>
  <si>
    <t>50V 1500pF capacitor</t>
  </si>
  <si>
    <t>Samsung</t>
  </si>
  <si>
    <t>LMR64010XMFE/NOPB</t>
  </si>
  <si>
    <t>U2</t>
  </si>
  <si>
    <t>LMR64010XMFE/NOPBCT-ND</t>
  </si>
  <si>
    <t>Texas Instruments</t>
  </si>
  <si>
    <t>SOT23-5</t>
  </si>
  <si>
    <t>GRM155R60J105KE19D</t>
  </si>
  <si>
    <t>490-1320-1-ND</t>
  </si>
  <si>
    <t>INA282AIDR</t>
  </si>
  <si>
    <t>U4</t>
  </si>
  <si>
    <t>296-27820-1-ND</t>
  </si>
  <si>
    <t>SOIC-8</t>
  </si>
  <si>
    <t>LT6005IGN#PBF</t>
  </si>
  <si>
    <t>U3</t>
  </si>
  <si>
    <t>LT6005IGN#PBF-ND</t>
  </si>
  <si>
    <t>16-SSOP</t>
  </si>
  <si>
    <t>Linear Technologies</t>
  </si>
  <si>
    <t>MBR0540L-TP</t>
  </si>
  <si>
    <t>D1</t>
  </si>
  <si>
    <t>MBR0540L-TPMSTR-ND</t>
  </si>
  <si>
    <t>40V Schottky diode</t>
  </si>
  <si>
    <t>Micro Commercial</t>
  </si>
  <si>
    <t>MCR006YRTJ390</t>
  </si>
  <si>
    <t>R26</t>
  </si>
  <si>
    <t>RHM39CCCT-ND</t>
  </si>
  <si>
    <t>Rohm Semiconductor</t>
  </si>
  <si>
    <t>MCR006YRTF1003</t>
  </si>
  <si>
    <t>RHM100KCBCT-ND</t>
  </si>
  <si>
    <t>100k</t>
  </si>
  <si>
    <t>CL05A225MQ5NNNC</t>
  </si>
  <si>
    <t>C1</t>
  </si>
  <si>
    <t>1276-1469-1-ND</t>
  </si>
  <si>
    <t>2.2uF</t>
  </si>
  <si>
    <t>BC846B,215</t>
  </si>
  <si>
    <t>T1</t>
  </si>
  <si>
    <t>568-1632-1-ND</t>
  </si>
  <si>
    <t>SOD123</t>
  </si>
  <si>
    <t>65V NPN BJT</t>
  </si>
  <si>
    <t>NXP Semiconductors</t>
  </si>
  <si>
    <t>FH12-5S-1SH(55)</t>
  </si>
  <si>
    <t>U20</t>
  </si>
  <si>
    <t>HFB105CT-ND</t>
  </si>
  <si>
    <t>Hirose</t>
  </si>
  <si>
    <t>DNI</t>
  </si>
  <si>
    <t>R27</t>
  </si>
  <si>
    <t>MLZ2012M100WTD25</t>
  </si>
  <si>
    <t>L2,L3</t>
  </si>
  <si>
    <t>445-17073-1-ND</t>
  </si>
  <si>
    <t>10uH</t>
  </si>
  <si>
    <t>TDK</t>
  </si>
  <si>
    <t>R4</t>
  </si>
  <si>
    <t>ERJ-2RKF1332X</t>
  </si>
  <si>
    <t>P13.3KLCT-ND</t>
  </si>
  <si>
    <t>13.3k</t>
  </si>
  <si>
    <t>R0402</t>
  </si>
  <si>
    <t>Panasonic</t>
  </si>
  <si>
    <t>R65,R70,R53</t>
  </si>
  <si>
    <t>CL05A106MQ5NUNC</t>
  </si>
  <si>
    <t>C8,C13,C23,C27,C36,C74</t>
  </si>
  <si>
    <t>1276-1451-1-ND</t>
  </si>
  <si>
    <t>10uF capacitor</t>
  </si>
  <si>
    <t>LTC3525ESC6-5#TRMPBF</t>
  </si>
  <si>
    <t>U12</t>
  </si>
  <si>
    <t>LTC3525ESC6-5#TRMPBFCT-ND</t>
  </si>
  <si>
    <t>SC70</t>
  </si>
  <si>
    <t>5V boost regulator</t>
  </si>
  <si>
    <t>LT1800CS5#TRMPBF</t>
  </si>
  <si>
    <t>U$5</t>
  </si>
  <si>
    <t>LT1800CS5#TRMPBFCT-ND</t>
  </si>
  <si>
    <t>TSOT23-5</t>
  </si>
  <si>
    <t>ERJ-1GEF8203C</t>
  </si>
  <si>
    <t>R10,R11,R13,R14,R20,R21,R23,R24</t>
  </si>
  <si>
    <t>P820KABCT-ND</t>
  </si>
  <si>
    <t>820k</t>
  </si>
  <si>
    <t>RC0201JR-0720KL</t>
  </si>
  <si>
    <t>R44,R45</t>
  </si>
  <si>
    <t>311-20KNCT-ND</t>
  </si>
  <si>
    <t>20k</t>
  </si>
  <si>
    <t>Yageo</t>
  </si>
  <si>
    <t>S2B-PH-SM4-TB(LF)(SN)</t>
  </si>
  <si>
    <t>CN1</t>
  </si>
  <si>
    <t>455-1749-1-ND</t>
  </si>
  <si>
    <t>JST-PH 2 pin connector</t>
  </si>
  <si>
    <t>JST</t>
  </si>
  <si>
    <t>GRM033R60J104KE19D</t>
  </si>
  <si>
    <t>490-3167-1-ND</t>
  </si>
  <si>
    <t>0.1uF capacitor</t>
  </si>
  <si>
    <t>AP7313-33SAG-7</t>
  </si>
  <si>
    <t>IC2</t>
  </si>
  <si>
    <t>AP7313-33SAG-7DICT-ND</t>
  </si>
  <si>
    <t>3.3V LDO</t>
  </si>
  <si>
    <t>Diodes Incorporated</t>
  </si>
  <si>
    <t>U6</t>
  </si>
  <si>
    <t>GRM155R61A104KA01D</t>
  </si>
  <si>
    <t>C76</t>
  </si>
  <si>
    <t>490-1318-1-ND</t>
  </si>
  <si>
    <t>C1608X5R1V475M080AC</t>
  </si>
  <si>
    <t>445-9042-1-ND</t>
  </si>
  <si>
    <t>4.7uF capacitor</t>
  </si>
  <si>
    <t>35V capacitor</t>
  </si>
  <si>
    <t>AD8422BRMZ</t>
  </si>
  <si>
    <t>U7,U8</t>
  </si>
  <si>
    <t>AD8422BRMZ-ND</t>
  </si>
  <si>
    <t>8-MSOP</t>
  </si>
  <si>
    <t>Instrumentation amplifier</t>
  </si>
  <si>
    <t>Analog Devices</t>
  </si>
  <si>
    <t>C0603X5R0J105M030BC</t>
  </si>
  <si>
    <t>445-8008-1-ND</t>
  </si>
  <si>
    <t>1uF capacitor</t>
  </si>
  <si>
    <t>AD8276ARMZ-R7</t>
  </si>
  <si>
    <t>U1</t>
  </si>
  <si>
    <t>AD8276ARMZ-R7TR-ND</t>
  </si>
  <si>
    <t>ATMEGA328P-AUR</t>
  </si>
  <si>
    <t>U5</t>
  </si>
  <si>
    <t>ATMEGA328P-AURCT-ND</t>
  </si>
  <si>
    <t>32-TQFP</t>
  </si>
  <si>
    <t>Atmel</t>
  </si>
  <si>
    <t>NX3225SA-16.000000MHZ-T1</t>
  </si>
  <si>
    <t>Q3</t>
  </si>
  <si>
    <t>644-1100-1-ND</t>
  </si>
  <si>
    <t>16 MHz oscillator</t>
  </si>
  <si>
    <t>NDK</t>
  </si>
  <si>
    <t>CRCW02012K20FKED</t>
  </si>
  <si>
    <t>R1,R2</t>
  </si>
  <si>
    <t>541-2.20KAABCT-ND</t>
  </si>
  <si>
    <t>2.2k</t>
  </si>
  <si>
    <t>ERJ-1GEF4991C</t>
  </si>
  <si>
    <t>R5,R7</t>
  </si>
  <si>
    <t>P4.99KABTR-ND</t>
  </si>
  <si>
    <t>4.99k</t>
  </si>
  <si>
    <t>CRCW0402374KFKED</t>
  </si>
  <si>
    <t>R3</t>
  </si>
  <si>
    <t>541-374KLCT-ND</t>
  </si>
  <si>
    <t>374k</t>
  </si>
  <si>
    <t>TLE2426IDR</t>
  </si>
  <si>
    <t>U15</t>
  </si>
  <si>
    <t>296-1345-1-ND</t>
  </si>
  <si>
    <t>8_SOIC</t>
  </si>
  <si>
    <t>U13</t>
  </si>
  <si>
    <t>C30</t>
  </si>
  <si>
    <t>ADG711BRUZ-ND</t>
  </si>
  <si>
    <t>16TSSOP</t>
  </si>
  <si>
    <t>ADG711BRUZ</t>
  </si>
  <si>
    <t>U$1</t>
  </si>
  <si>
    <t>ADG5401BRMZ-ND</t>
  </si>
  <si>
    <t>ADG5401BRMZ</t>
  </si>
  <si>
    <t>C3,C4,C5,C6,C7,C9,C10,C11,C12,C14,C15,C16,C17,C18,C19,C20,C21,C22,C31,C32,C33,C34,C28</t>
  </si>
  <si>
    <t>R6</t>
  </si>
  <si>
    <t>10k</t>
  </si>
  <si>
    <t>311-10KNCT-ND</t>
  </si>
  <si>
    <t>RC0201JR-0710KL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</si>
</sst>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75" zoomScaleNormal="75" zoomScalePageLayoutView="75" workbookViewId="0">
      <selection activeCell="B15" sqref="B15"/>
    </sheetView>
  </sheetViews>
  <sheetFormatPr baseColWidth="10" defaultRowHeight="15" x14ac:dyDescent="0"/>
  <cols>
    <col min="2" max="2" width="25.6640625" customWidth="1"/>
    <col min="3" max="3" width="28" customWidth="1"/>
    <col min="4" max="4" width="21.83203125" customWidth="1"/>
    <col min="5" max="5" width="68.33203125" customWidth="1"/>
  </cols>
  <sheetData>
    <row r="1" spans="1:11" ht="84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6</v>
      </c>
      <c r="G1" s="5" t="s">
        <v>7</v>
      </c>
      <c r="H1" s="6" t="s">
        <v>8</v>
      </c>
      <c r="I1" s="6" t="s">
        <v>9</v>
      </c>
      <c r="J1" s="5" t="s">
        <v>10</v>
      </c>
      <c r="K1" s="6" t="s">
        <v>11</v>
      </c>
    </row>
    <row r="2" spans="1:11">
      <c r="A2">
        <f>ROW()-1</f>
        <v>1</v>
      </c>
      <c r="B2">
        <f>1+LEN(E2)-LEN(SUBSTITUTE(E2,",",""))</f>
        <v>1</v>
      </c>
      <c r="C2" s="7" t="s">
        <v>20</v>
      </c>
      <c r="E2" t="s">
        <v>17</v>
      </c>
      <c r="F2" t="s">
        <v>22</v>
      </c>
      <c r="G2" s="7" t="s">
        <v>23</v>
      </c>
      <c r="H2" t="s">
        <v>18</v>
      </c>
      <c r="I2" t="s">
        <v>19</v>
      </c>
      <c r="K2" t="s">
        <v>21</v>
      </c>
    </row>
    <row r="3" spans="1:11">
      <c r="A3">
        <f t="shared" ref="A3:A41" si="0">ROW()-1</f>
        <v>2</v>
      </c>
      <c r="B3">
        <f t="shared" ref="B3:B41" si="1">1+LEN(E3)-LEN(SUBSTITUTE(E3,",",""))</f>
        <v>1</v>
      </c>
      <c r="C3" s="7" t="s">
        <v>24</v>
      </c>
      <c r="E3" t="s">
        <v>26</v>
      </c>
      <c r="F3" t="s">
        <v>22</v>
      </c>
      <c r="G3" s="7" t="s">
        <v>27</v>
      </c>
      <c r="H3" t="s">
        <v>28</v>
      </c>
      <c r="I3" t="s">
        <v>25</v>
      </c>
      <c r="K3" t="s">
        <v>29</v>
      </c>
    </row>
    <row r="4" spans="1:11">
      <c r="A4">
        <f t="shared" si="0"/>
        <v>3</v>
      </c>
      <c r="B4">
        <f t="shared" si="1"/>
        <v>2</v>
      </c>
      <c r="C4" s="7" t="s">
        <v>30</v>
      </c>
      <c r="E4" t="s">
        <v>31</v>
      </c>
      <c r="F4" t="s">
        <v>22</v>
      </c>
      <c r="G4" s="7" t="s">
        <v>32</v>
      </c>
      <c r="H4" t="s">
        <v>33</v>
      </c>
      <c r="I4" t="s">
        <v>15</v>
      </c>
      <c r="J4" t="s">
        <v>34</v>
      </c>
      <c r="K4" t="s">
        <v>35</v>
      </c>
    </row>
    <row r="5" spans="1:11">
      <c r="A5">
        <f t="shared" si="0"/>
        <v>4</v>
      </c>
      <c r="B5">
        <f t="shared" si="1"/>
        <v>1</v>
      </c>
      <c r="C5" s="7" t="s">
        <v>36</v>
      </c>
      <c r="E5" t="s">
        <v>37</v>
      </c>
      <c r="F5" t="s">
        <v>22</v>
      </c>
      <c r="G5" s="7" t="s">
        <v>38</v>
      </c>
      <c r="H5" t="s">
        <v>39</v>
      </c>
      <c r="I5" t="s">
        <v>15</v>
      </c>
      <c r="J5" t="s">
        <v>40</v>
      </c>
      <c r="K5" t="s">
        <v>41</v>
      </c>
    </row>
    <row r="6" spans="1:11">
      <c r="A6">
        <f t="shared" si="0"/>
        <v>5</v>
      </c>
      <c r="B6">
        <f t="shared" si="1"/>
        <v>1</v>
      </c>
      <c r="C6" s="7" t="s">
        <v>42</v>
      </c>
      <c r="E6" t="s">
        <v>43</v>
      </c>
      <c r="F6" t="s">
        <v>22</v>
      </c>
      <c r="G6" s="7" t="s">
        <v>44</v>
      </c>
      <c r="I6" t="s">
        <v>46</v>
      </c>
      <c r="K6" t="s">
        <v>45</v>
      </c>
    </row>
    <row r="7" spans="1:11">
      <c r="A7">
        <f t="shared" si="0"/>
        <v>6</v>
      </c>
      <c r="B7">
        <f t="shared" si="1"/>
        <v>4</v>
      </c>
      <c r="C7" s="7" t="s">
        <v>47</v>
      </c>
      <c r="E7" t="s">
        <v>14</v>
      </c>
      <c r="F7" t="s">
        <v>22</v>
      </c>
      <c r="G7" s="7" t="s">
        <v>48</v>
      </c>
      <c r="H7" t="s">
        <v>16</v>
      </c>
      <c r="I7" t="s">
        <v>15</v>
      </c>
      <c r="K7" t="s">
        <v>35</v>
      </c>
    </row>
    <row r="8" spans="1:11">
      <c r="A8">
        <f t="shared" si="0"/>
        <v>7</v>
      </c>
      <c r="B8">
        <f t="shared" si="1"/>
        <v>1</v>
      </c>
      <c r="C8" s="7" t="s">
        <v>49</v>
      </c>
      <c r="E8" t="s">
        <v>50</v>
      </c>
      <c r="F8" t="s">
        <v>22</v>
      </c>
      <c r="G8" s="7" t="s">
        <v>51</v>
      </c>
      <c r="I8" t="s">
        <v>52</v>
      </c>
      <c r="K8" t="s">
        <v>45</v>
      </c>
    </row>
    <row r="9" spans="1:11">
      <c r="A9">
        <f t="shared" si="0"/>
        <v>8</v>
      </c>
      <c r="B9">
        <f t="shared" si="1"/>
        <v>1</v>
      </c>
      <c r="C9" s="7" t="s">
        <v>53</v>
      </c>
      <c r="E9" t="s">
        <v>54</v>
      </c>
      <c r="F9" t="s">
        <v>22</v>
      </c>
      <c r="G9" s="7" t="s">
        <v>55</v>
      </c>
      <c r="I9" t="s">
        <v>56</v>
      </c>
      <c r="K9" t="s">
        <v>57</v>
      </c>
    </row>
    <row r="10" spans="1:11">
      <c r="A10">
        <f t="shared" si="0"/>
        <v>9</v>
      </c>
      <c r="B10">
        <f t="shared" si="1"/>
        <v>1</v>
      </c>
      <c r="C10" s="7" t="s">
        <v>58</v>
      </c>
      <c r="E10" t="s">
        <v>59</v>
      </c>
      <c r="F10" t="s">
        <v>22</v>
      </c>
      <c r="G10" s="7" t="s">
        <v>60</v>
      </c>
      <c r="I10" t="s">
        <v>77</v>
      </c>
      <c r="J10" t="s">
        <v>61</v>
      </c>
      <c r="K10" t="s">
        <v>62</v>
      </c>
    </row>
    <row r="11" spans="1:11">
      <c r="A11">
        <f t="shared" si="0"/>
        <v>10</v>
      </c>
      <c r="B11">
        <f t="shared" si="1"/>
        <v>1</v>
      </c>
      <c r="C11" s="7" t="s">
        <v>63</v>
      </c>
      <c r="E11" t="s">
        <v>64</v>
      </c>
      <c r="F11" t="s">
        <v>22</v>
      </c>
      <c r="G11" s="7" t="s">
        <v>65</v>
      </c>
      <c r="H11">
        <v>39</v>
      </c>
      <c r="I11" t="s">
        <v>19</v>
      </c>
      <c r="K11" t="s">
        <v>66</v>
      </c>
    </row>
    <row r="12" spans="1:11">
      <c r="A12">
        <f t="shared" si="0"/>
        <v>11</v>
      </c>
      <c r="B12">
        <f t="shared" si="1"/>
        <v>3</v>
      </c>
      <c r="C12" s="7" t="s">
        <v>67</v>
      </c>
      <c r="E12" t="s">
        <v>97</v>
      </c>
      <c r="F12" t="s">
        <v>22</v>
      </c>
      <c r="G12" s="7" t="s">
        <v>68</v>
      </c>
      <c r="H12" t="s">
        <v>69</v>
      </c>
      <c r="I12" t="s">
        <v>19</v>
      </c>
      <c r="K12" t="s">
        <v>66</v>
      </c>
    </row>
    <row r="13" spans="1:11">
      <c r="A13">
        <f t="shared" si="0"/>
        <v>12</v>
      </c>
      <c r="B13">
        <f t="shared" si="1"/>
        <v>1</v>
      </c>
      <c r="C13" s="7" t="s">
        <v>70</v>
      </c>
      <c r="E13" t="s">
        <v>71</v>
      </c>
      <c r="F13" t="s">
        <v>22</v>
      </c>
      <c r="G13" s="7" t="s">
        <v>72</v>
      </c>
      <c r="H13" t="s">
        <v>73</v>
      </c>
      <c r="I13" t="s">
        <v>15</v>
      </c>
      <c r="K13" t="s">
        <v>41</v>
      </c>
    </row>
    <row r="14" spans="1:11">
      <c r="A14">
        <f t="shared" si="0"/>
        <v>13</v>
      </c>
      <c r="B14">
        <f t="shared" si="1"/>
        <v>1</v>
      </c>
      <c r="C14" s="7" t="s">
        <v>183</v>
      </c>
      <c r="E14" t="s">
        <v>133</v>
      </c>
      <c r="F14" t="s">
        <v>22</v>
      </c>
      <c r="G14" s="7" t="s">
        <v>181</v>
      </c>
      <c r="I14" t="s">
        <v>182</v>
      </c>
      <c r="K14" t="s">
        <v>146</v>
      </c>
    </row>
    <row r="15" spans="1:11">
      <c r="A15">
        <f t="shared" si="0"/>
        <v>14</v>
      </c>
      <c r="B15">
        <f t="shared" si="1"/>
        <v>1</v>
      </c>
      <c r="C15" s="7" t="s">
        <v>74</v>
      </c>
      <c r="E15" t="s">
        <v>75</v>
      </c>
      <c r="F15" t="s">
        <v>22</v>
      </c>
      <c r="G15" s="7" t="s">
        <v>76</v>
      </c>
      <c r="I15" t="s">
        <v>25</v>
      </c>
      <c r="J15" t="s">
        <v>78</v>
      </c>
      <c r="K15" t="s">
        <v>79</v>
      </c>
    </row>
    <row r="16" spans="1:11">
      <c r="A16">
        <f t="shared" si="0"/>
        <v>15</v>
      </c>
      <c r="B16">
        <f t="shared" si="1"/>
        <v>1</v>
      </c>
      <c r="C16" s="7" t="s">
        <v>80</v>
      </c>
      <c r="E16" t="s">
        <v>81</v>
      </c>
      <c r="F16" t="s">
        <v>22</v>
      </c>
      <c r="G16" s="7" t="s">
        <v>82</v>
      </c>
      <c r="K16" t="s">
        <v>83</v>
      </c>
    </row>
    <row r="17" spans="1:11">
      <c r="A17">
        <f t="shared" si="0"/>
        <v>16</v>
      </c>
      <c r="B17">
        <f t="shared" si="1"/>
        <v>1</v>
      </c>
      <c r="D17" t="s">
        <v>84</v>
      </c>
      <c r="E17" t="s">
        <v>85</v>
      </c>
    </row>
    <row r="18" spans="1:11">
      <c r="A18">
        <f t="shared" si="0"/>
        <v>17</v>
      </c>
      <c r="B18">
        <f t="shared" si="1"/>
        <v>2</v>
      </c>
      <c r="C18" s="7" t="s">
        <v>86</v>
      </c>
      <c r="E18" t="s">
        <v>87</v>
      </c>
      <c r="F18" t="s">
        <v>22</v>
      </c>
      <c r="G18" s="7" t="s">
        <v>88</v>
      </c>
      <c r="H18" t="s">
        <v>89</v>
      </c>
      <c r="I18">
        <v>805</v>
      </c>
      <c r="K18" t="s">
        <v>90</v>
      </c>
    </row>
    <row r="19" spans="1:11">
      <c r="A19">
        <f t="shared" si="0"/>
        <v>18</v>
      </c>
      <c r="B19">
        <f t="shared" si="1"/>
        <v>1</v>
      </c>
      <c r="C19" s="7" t="s">
        <v>92</v>
      </c>
      <c r="E19" t="s">
        <v>91</v>
      </c>
      <c r="F19" t="s">
        <v>22</v>
      </c>
      <c r="G19" s="7" t="s">
        <v>93</v>
      </c>
      <c r="H19" t="s">
        <v>94</v>
      </c>
      <c r="I19" t="s">
        <v>95</v>
      </c>
      <c r="K19" t="s">
        <v>96</v>
      </c>
    </row>
    <row r="20" spans="1:11">
      <c r="A20">
        <f t="shared" si="0"/>
        <v>19</v>
      </c>
      <c r="B20">
        <f t="shared" si="1"/>
        <v>6</v>
      </c>
      <c r="C20" s="7" t="s">
        <v>98</v>
      </c>
      <c r="E20" t="s">
        <v>99</v>
      </c>
      <c r="F20" t="s">
        <v>22</v>
      </c>
      <c r="G20" s="7" t="s">
        <v>100</v>
      </c>
      <c r="H20" t="s">
        <v>101</v>
      </c>
      <c r="I20" t="s">
        <v>15</v>
      </c>
      <c r="K20" t="s">
        <v>41</v>
      </c>
    </row>
    <row r="21" spans="1:11">
      <c r="A21">
        <f t="shared" si="0"/>
        <v>20</v>
      </c>
      <c r="B21">
        <f t="shared" si="1"/>
        <v>1</v>
      </c>
      <c r="C21" s="7" t="s">
        <v>102</v>
      </c>
      <c r="E21" t="s">
        <v>103</v>
      </c>
      <c r="F21" t="s">
        <v>22</v>
      </c>
      <c r="G21" s="7" t="s">
        <v>104</v>
      </c>
      <c r="I21" t="s">
        <v>105</v>
      </c>
      <c r="J21" t="s">
        <v>106</v>
      </c>
      <c r="K21" t="s">
        <v>57</v>
      </c>
    </row>
    <row r="22" spans="1:11">
      <c r="A22">
        <f t="shared" si="0"/>
        <v>21</v>
      </c>
      <c r="B22">
        <f t="shared" si="1"/>
        <v>1</v>
      </c>
      <c r="C22" s="7" t="s">
        <v>107</v>
      </c>
      <c r="E22" t="s">
        <v>108</v>
      </c>
      <c r="F22" t="s">
        <v>22</v>
      </c>
      <c r="G22" s="7" t="s">
        <v>109</v>
      </c>
      <c r="I22" t="s">
        <v>110</v>
      </c>
      <c r="K22" t="s">
        <v>57</v>
      </c>
    </row>
    <row r="23" spans="1:11">
      <c r="A23">
        <f t="shared" si="0"/>
        <v>22</v>
      </c>
      <c r="B23">
        <f t="shared" si="1"/>
        <v>8</v>
      </c>
      <c r="C23" s="7" t="s">
        <v>111</v>
      </c>
      <c r="E23" t="s">
        <v>112</v>
      </c>
      <c r="F23" t="s">
        <v>22</v>
      </c>
      <c r="G23" s="7" t="s">
        <v>113</v>
      </c>
      <c r="H23" t="s">
        <v>114</v>
      </c>
      <c r="I23" t="s">
        <v>19</v>
      </c>
      <c r="K23" t="s">
        <v>96</v>
      </c>
    </row>
    <row r="24" spans="1:11">
      <c r="A24">
        <f t="shared" si="0"/>
        <v>23</v>
      </c>
      <c r="B24">
        <f t="shared" si="1"/>
        <v>2</v>
      </c>
      <c r="C24" s="7" t="s">
        <v>115</v>
      </c>
      <c r="E24" t="s">
        <v>116</v>
      </c>
      <c r="F24" t="s">
        <v>22</v>
      </c>
      <c r="G24" s="7" t="s">
        <v>117</v>
      </c>
      <c r="H24" t="s">
        <v>118</v>
      </c>
      <c r="I24" t="s">
        <v>19</v>
      </c>
      <c r="K24" t="s">
        <v>119</v>
      </c>
    </row>
    <row r="25" spans="1:11">
      <c r="A25">
        <f t="shared" si="0"/>
        <v>24</v>
      </c>
      <c r="B25">
        <f t="shared" si="1"/>
        <v>1</v>
      </c>
      <c r="C25" s="7" t="s">
        <v>120</v>
      </c>
      <c r="E25" t="s">
        <v>121</v>
      </c>
      <c r="F25" t="s">
        <v>22</v>
      </c>
      <c r="G25" s="7" t="s">
        <v>122</v>
      </c>
      <c r="J25" t="s">
        <v>123</v>
      </c>
      <c r="K25" t="s">
        <v>124</v>
      </c>
    </row>
    <row r="26" spans="1:11">
      <c r="A26">
        <f t="shared" si="0"/>
        <v>25</v>
      </c>
      <c r="B26">
        <f t="shared" si="1"/>
        <v>23</v>
      </c>
      <c r="C26" s="7" t="s">
        <v>125</v>
      </c>
      <c r="E26" t="s">
        <v>187</v>
      </c>
      <c r="F26" t="s">
        <v>22</v>
      </c>
      <c r="G26" s="7" t="s">
        <v>126</v>
      </c>
      <c r="H26" t="s">
        <v>127</v>
      </c>
      <c r="I26" t="s">
        <v>13</v>
      </c>
      <c r="K26" t="s">
        <v>35</v>
      </c>
    </row>
    <row r="27" spans="1:11">
      <c r="A27">
        <f t="shared" si="0"/>
        <v>26</v>
      </c>
      <c r="B27">
        <f t="shared" si="1"/>
        <v>1</v>
      </c>
      <c r="C27" s="7" t="s">
        <v>186</v>
      </c>
      <c r="E27" t="s">
        <v>184</v>
      </c>
      <c r="F27" t="s">
        <v>22</v>
      </c>
      <c r="G27" s="7" t="s">
        <v>185</v>
      </c>
      <c r="K27" t="s">
        <v>146</v>
      </c>
    </row>
    <row r="28" spans="1:11">
      <c r="A28">
        <f t="shared" si="0"/>
        <v>27</v>
      </c>
      <c r="B28">
        <f t="shared" si="1"/>
        <v>1</v>
      </c>
      <c r="C28" s="7" t="s">
        <v>128</v>
      </c>
      <c r="E28" t="s">
        <v>129</v>
      </c>
      <c r="F28" t="s">
        <v>22</v>
      </c>
      <c r="G28" s="7" t="s">
        <v>130</v>
      </c>
      <c r="I28" t="s">
        <v>25</v>
      </c>
      <c r="J28" t="s">
        <v>131</v>
      </c>
      <c r="K28" t="s">
        <v>132</v>
      </c>
    </row>
    <row r="29" spans="1:11">
      <c r="A29">
        <f t="shared" si="0"/>
        <v>28</v>
      </c>
      <c r="B29">
        <f t="shared" si="1"/>
        <v>1</v>
      </c>
      <c r="C29" s="7" t="s">
        <v>134</v>
      </c>
      <c r="E29" t="s">
        <v>135</v>
      </c>
      <c r="F29" t="s">
        <v>22</v>
      </c>
      <c r="G29" s="7" t="s">
        <v>136</v>
      </c>
      <c r="H29" t="s">
        <v>127</v>
      </c>
      <c r="I29" t="s">
        <v>15</v>
      </c>
      <c r="K29" t="s">
        <v>35</v>
      </c>
    </row>
    <row r="30" spans="1:11">
      <c r="A30">
        <f t="shared" si="0"/>
        <v>29</v>
      </c>
      <c r="B30">
        <f t="shared" si="1"/>
        <v>1</v>
      </c>
      <c r="C30" s="7" t="s">
        <v>137</v>
      </c>
      <c r="E30" t="s">
        <v>5</v>
      </c>
      <c r="F30" t="s">
        <v>22</v>
      </c>
      <c r="G30" s="7" t="s">
        <v>138</v>
      </c>
      <c r="H30" t="s">
        <v>139</v>
      </c>
      <c r="I30" t="s">
        <v>12</v>
      </c>
      <c r="J30" t="s">
        <v>140</v>
      </c>
      <c r="K30" t="s">
        <v>90</v>
      </c>
    </row>
    <row r="31" spans="1:11">
      <c r="A31">
        <f t="shared" si="0"/>
        <v>30</v>
      </c>
      <c r="B31">
        <f t="shared" si="1"/>
        <v>2</v>
      </c>
      <c r="C31" s="7" t="s">
        <v>141</v>
      </c>
      <c r="E31" t="s">
        <v>142</v>
      </c>
      <c r="F31" t="s">
        <v>22</v>
      </c>
      <c r="G31" s="7" t="s">
        <v>143</v>
      </c>
      <c r="I31" t="s">
        <v>144</v>
      </c>
      <c r="J31" t="s">
        <v>145</v>
      </c>
      <c r="K31" t="s">
        <v>146</v>
      </c>
    </row>
    <row r="32" spans="1:11">
      <c r="A32">
        <f t="shared" si="0"/>
        <v>31</v>
      </c>
      <c r="B32">
        <f t="shared" si="1"/>
        <v>1</v>
      </c>
      <c r="C32" s="7" t="s">
        <v>147</v>
      </c>
      <c r="E32" t="s">
        <v>180</v>
      </c>
      <c r="F32" t="s">
        <v>22</v>
      </c>
      <c r="G32" s="7" t="s">
        <v>148</v>
      </c>
      <c r="H32" t="s">
        <v>149</v>
      </c>
      <c r="I32" t="s">
        <v>13</v>
      </c>
      <c r="K32" t="s">
        <v>90</v>
      </c>
    </row>
    <row r="33" spans="1:11">
      <c r="A33">
        <f t="shared" si="0"/>
        <v>32</v>
      </c>
      <c r="B33">
        <f t="shared" si="1"/>
        <v>1</v>
      </c>
      <c r="C33" s="7" t="s">
        <v>150</v>
      </c>
      <c r="E33" t="s">
        <v>151</v>
      </c>
      <c r="F33" t="s">
        <v>22</v>
      </c>
      <c r="G33" s="7" t="s">
        <v>152</v>
      </c>
      <c r="I33" t="s">
        <v>144</v>
      </c>
      <c r="K33" t="s">
        <v>146</v>
      </c>
    </row>
    <row r="34" spans="1:11">
      <c r="A34">
        <f t="shared" si="0"/>
        <v>33</v>
      </c>
      <c r="B34">
        <f t="shared" si="1"/>
        <v>1</v>
      </c>
      <c r="C34" s="7" t="s">
        <v>153</v>
      </c>
      <c r="E34" t="s">
        <v>154</v>
      </c>
      <c r="F34" t="s">
        <v>22</v>
      </c>
      <c r="G34" s="7" t="s">
        <v>155</v>
      </c>
      <c r="I34" s="7" t="s">
        <v>156</v>
      </c>
      <c r="K34" s="7" t="s">
        <v>157</v>
      </c>
    </row>
    <row r="35" spans="1:11">
      <c r="A35">
        <f t="shared" si="0"/>
        <v>34</v>
      </c>
      <c r="B35">
        <f t="shared" si="1"/>
        <v>1</v>
      </c>
      <c r="C35" s="7" t="s">
        <v>158</v>
      </c>
      <c r="E35" t="s">
        <v>159</v>
      </c>
      <c r="F35" t="s">
        <v>22</v>
      </c>
      <c r="G35" s="7" t="s">
        <v>160</v>
      </c>
      <c r="J35" t="s">
        <v>161</v>
      </c>
      <c r="K35" t="s">
        <v>162</v>
      </c>
    </row>
    <row r="36" spans="1:11">
      <c r="A36">
        <f t="shared" si="0"/>
        <v>35</v>
      </c>
      <c r="B36">
        <f t="shared" si="1"/>
        <v>2</v>
      </c>
      <c r="C36" s="7" t="s">
        <v>163</v>
      </c>
      <c r="E36" t="s">
        <v>164</v>
      </c>
      <c r="F36" t="s">
        <v>22</v>
      </c>
      <c r="G36" s="7" t="s">
        <v>165</v>
      </c>
      <c r="H36" t="s">
        <v>166</v>
      </c>
      <c r="I36" t="s">
        <v>19</v>
      </c>
      <c r="K36" t="s">
        <v>21</v>
      </c>
    </row>
    <row r="37" spans="1:11">
      <c r="A37">
        <f t="shared" si="0"/>
        <v>36</v>
      </c>
      <c r="B37">
        <f t="shared" si="1"/>
        <v>2</v>
      </c>
      <c r="C37" s="7" t="s">
        <v>167</v>
      </c>
      <c r="E37" t="s">
        <v>168</v>
      </c>
      <c r="F37" t="s">
        <v>22</v>
      </c>
      <c r="G37" s="7" t="s">
        <v>169</v>
      </c>
      <c r="H37" t="s">
        <v>170</v>
      </c>
      <c r="I37" t="s">
        <v>19</v>
      </c>
      <c r="K37" t="s">
        <v>96</v>
      </c>
    </row>
    <row r="38" spans="1:11">
      <c r="A38">
        <f t="shared" si="0"/>
        <v>37</v>
      </c>
      <c r="B38">
        <f t="shared" si="1"/>
        <v>1</v>
      </c>
      <c r="C38" s="7" t="s">
        <v>171</v>
      </c>
      <c r="E38" t="s">
        <v>172</v>
      </c>
      <c r="F38" t="s">
        <v>22</v>
      </c>
      <c r="G38" s="7" t="s">
        <v>173</v>
      </c>
      <c r="H38" t="s">
        <v>174</v>
      </c>
      <c r="I38" t="s">
        <v>95</v>
      </c>
      <c r="K38" t="s">
        <v>21</v>
      </c>
    </row>
    <row r="39" spans="1:11">
      <c r="A39">
        <f t="shared" si="0"/>
        <v>38</v>
      </c>
      <c r="B39">
        <f t="shared" si="1"/>
        <v>1</v>
      </c>
      <c r="C39" s="7" t="s">
        <v>175</v>
      </c>
      <c r="E39" t="s">
        <v>176</v>
      </c>
      <c r="F39" t="s">
        <v>22</v>
      </c>
      <c r="G39" s="7" t="s">
        <v>177</v>
      </c>
      <c r="I39" t="s">
        <v>178</v>
      </c>
      <c r="K39" t="s">
        <v>45</v>
      </c>
    </row>
    <row r="40" spans="1:11">
      <c r="A40">
        <f t="shared" si="0"/>
        <v>39</v>
      </c>
      <c r="B40">
        <f t="shared" si="1"/>
        <v>1</v>
      </c>
      <c r="C40" s="7" t="s">
        <v>191</v>
      </c>
      <c r="E40" t="s">
        <v>188</v>
      </c>
      <c r="F40" t="s">
        <v>22</v>
      </c>
      <c r="G40" s="7" t="s">
        <v>190</v>
      </c>
      <c r="H40" t="s">
        <v>189</v>
      </c>
      <c r="I40" t="s">
        <v>19</v>
      </c>
      <c r="J40" t="s">
        <v>189</v>
      </c>
      <c r="K40" t="s">
        <v>119</v>
      </c>
    </row>
    <row r="41" spans="1:11">
      <c r="A41">
        <f t="shared" si="0"/>
        <v>40</v>
      </c>
      <c r="B41">
        <f t="shared" si="1"/>
        <v>1</v>
      </c>
      <c r="D41" t="s">
        <v>84</v>
      </c>
      <c r="E41" t="s">
        <v>179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2015-08-10T20:21:43Z</dcterms:created>
  <dcterms:modified xsi:type="dcterms:W3CDTF">2016-06-01T18:45:46Z</dcterms:modified>
</cp:coreProperties>
</file>